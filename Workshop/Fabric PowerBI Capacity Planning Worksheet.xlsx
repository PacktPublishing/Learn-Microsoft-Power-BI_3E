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8fedbb726841d9a/Packt/Workshop/Materials/"/>
    </mc:Choice>
  </mc:AlternateContent>
  <xr:revisionPtr revIDLastSave="3" documentId="8_{C938CF22-E451-4603-B5A9-D19D8842CB1F}" xr6:coauthVersionLast="47" xr6:coauthVersionMax="47" xr10:uidLastSave="{CC6D1CF0-42F1-4DBE-9A7F-BCE36E46E886}"/>
  <bookViews>
    <workbookView minimized="1" xWindow="-37640" yWindow="790" windowWidth="28800" windowHeight="15910" activeTab="5" xr2:uid="{00000000-000D-0000-FFFF-FFFF00000000}"/>
  </bookViews>
  <sheets>
    <sheet name="README" sheetId="1" r:id="rId1"/>
    <sheet name="Inputs" sheetId="2" r:id="rId2"/>
    <sheet name="SKU Catalog" sheetId="3" r:id="rId3"/>
    <sheet name="Sizing" sheetId="4" r:id="rId4"/>
    <sheet name="Scenarios" sheetId="5" r:id="rId5"/>
    <sheet name="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C14" i="5"/>
  <c r="B14" i="5"/>
  <c r="D13" i="5"/>
  <c r="C13" i="5"/>
  <c r="B13" i="5"/>
  <c r="D12" i="5"/>
  <c r="C12" i="5"/>
  <c r="B12" i="5"/>
  <c r="D11" i="5"/>
  <c r="C11" i="5"/>
  <c r="B10" i="5"/>
  <c r="D9" i="5"/>
  <c r="C9" i="5"/>
  <c r="B9" i="5"/>
  <c r="D8" i="5"/>
  <c r="C8" i="5"/>
  <c r="B8" i="5"/>
  <c r="D7" i="5"/>
  <c r="D10" i="5" s="1"/>
  <c r="C7" i="5"/>
  <c r="C10" i="5" s="1"/>
  <c r="B7" i="5"/>
  <c r="B11" i="5" s="1"/>
  <c r="B6" i="5"/>
  <c r="B5" i="5"/>
  <c r="D4" i="5"/>
  <c r="C4" i="5"/>
  <c r="B4" i="5"/>
  <c r="B12" i="4"/>
  <c r="B10" i="4"/>
  <c r="B9" i="4"/>
  <c r="B8" i="4"/>
  <c r="B6" i="4"/>
  <c r="B5" i="4"/>
  <c r="B4" i="4"/>
  <c r="B3" i="4"/>
  <c r="B7" i="4" s="1"/>
  <c r="B11" i="4" s="1"/>
  <c r="B13" i="4" s="1"/>
  <c r="G13" i="3"/>
  <c r="H13" i="3" s="1"/>
  <c r="I13" i="3" s="1"/>
  <c r="G12" i="3"/>
  <c r="H12" i="3" s="1"/>
  <c r="I12" i="3" s="1"/>
  <c r="G11" i="3"/>
  <c r="H11" i="3" s="1"/>
  <c r="I11" i="3" s="1"/>
  <c r="G10" i="3"/>
  <c r="H10" i="3" s="1"/>
  <c r="I10" i="3" s="1"/>
  <c r="G9" i="3"/>
  <c r="H9" i="3" s="1"/>
  <c r="I9" i="3" s="1"/>
  <c r="G8" i="3"/>
  <c r="H8" i="3" s="1"/>
  <c r="G7" i="3"/>
  <c r="H7" i="3" s="1"/>
  <c r="G6" i="3"/>
  <c r="H6" i="3" s="1"/>
  <c r="I6" i="3" s="1"/>
  <c r="G5" i="3"/>
  <c r="H5" i="3" s="1"/>
  <c r="I5" i="3" s="1"/>
  <c r="G4" i="3"/>
  <c r="H4" i="3" s="1"/>
  <c r="I4" i="3" s="1"/>
  <c r="G3" i="3"/>
  <c r="H3" i="3" s="1"/>
  <c r="I3" i="3" s="1"/>
  <c r="B16" i="5" l="1"/>
  <c r="B15" i="5"/>
  <c r="B14" i="4"/>
  <c r="B15" i="4" s="1"/>
  <c r="B6" i="6" s="1"/>
  <c r="B5" i="6"/>
  <c r="I8" i="3"/>
  <c r="D6" i="5" s="1"/>
  <c r="D16" i="5" s="1"/>
  <c r="D5" i="5"/>
  <c r="D15" i="5" s="1"/>
  <c r="I7" i="3"/>
  <c r="C6" i="5" s="1"/>
  <c r="C16" i="5" s="1"/>
  <c r="C5" i="5"/>
  <c r="C15" i="5" s="1"/>
  <c r="B7" i="6" l="1"/>
  <c r="B8" i="6"/>
  <c r="B12" i="6"/>
  <c r="C19" i="6"/>
  <c r="B10" i="6"/>
  <c r="B19" i="6"/>
  <c r="B11" i="6"/>
  <c r="C18" i="6"/>
  <c r="B9" i="6"/>
  <c r="B1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Power BI Pro official list price shown as $14/user/month, paid yearly: https://www.microsoft.com/en-us/power-platform/products/power-bi/pricing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Power BI Premium Per User official list price shown as $24/user/month, paid yearly: https://www.microsoft.com/en-us/power-platform/products/power-bi/pricing</t>
        </r>
      </text>
    </comment>
    <comment ref="B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Enter your current regional Fabric PAYG CU-hour price from the Azure pricing page; pricing is region-specific and may not render numerically in all contexts: https://azure.microsoft.com/en-us/pricing/details/microsoft-fabric/</t>
        </r>
      </text>
    </comment>
    <comment ref="B6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Azure pricing page states 1- or 3-year reservations can save about 41% versus pay-as-you-go: https://azure.microsoft.com/en-us/pricing/details/microsoft-fabric/</t>
        </r>
      </text>
    </comment>
    <comment ref="B9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Capacity reservation applies to Fabric capacity usage only, not storage or networking: https://learn.microsoft.com/en-us/azure/cost-management-billing/reservations/fabric-capacity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F SKU to CU mapping, P mappings, and F64 free-viewer threshold sourced from https://learn.microsoft.com/en-us/fabric/enterprise/licenses</t>
        </r>
      </text>
    </comment>
    <comment ref="E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Free Mirroring storage by purchased capacity sourced from https://azure.microsoft.com/en-us/pricing/details/microsoft-fabric/</t>
        </r>
      </text>
    </comment>
    <comment ref="F3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Dataflow Gen2 parallel task counts sourced from https://learn.microsoft.com/en-us/fabric/enterprise/powerbi/service-premium-what-is</t>
        </r>
      </text>
    </comment>
  </commentList>
</comments>
</file>

<file path=xl/sharedStrings.xml><?xml version="1.0" encoding="utf-8"?>
<sst xmlns="http://schemas.openxmlformats.org/spreadsheetml/2006/main" count="340" uniqueCount="209">
  <si>
    <t>Fabric + Power BI Economics Capacity Planning Worksheet</t>
  </si>
  <si>
    <t>Purpose</t>
  </si>
  <si>
    <t>Reusable worksheet to estimate Microsoft Fabric capacity needs and monthly economics across scenarios. Update the yellow input cells with your regional pricing, user counts, workload assumptions, and storage estimates.</t>
  </si>
  <si>
    <t>1) Enter pricing and workload assumptions in the Inputs sheet.</t>
  </si>
  <si>
    <t>2) Review the SKU catalog for F-SKU mappings, free-viewer thresholds, and operational notes.</t>
  </si>
  <si>
    <t>3) Use the Scenarios sheet to compare licensing patterns and capacity choices.</t>
  </si>
  <si>
    <t>4) Use the Sizing sheet to estimate required continuous CUs from daily CU-hour demand and peak factors.</t>
  </si>
  <si>
    <t>5) Final monthly economics roll up on the Summary sheet.</t>
  </si>
  <si>
    <t>Important notes</t>
  </si>
  <si>
    <t>• Yellow cells = inputs to update. Black text = formulas. Gray text = static reference values.</t>
  </si>
  <si>
    <t>• Fabric pricing is region-specific on the Azure pricing page. Enter your current regional PAYG CU-hour rate and storage rates.</t>
  </si>
  <si>
    <t>• Reservation discounts cover Fabric capacity usage only, not storage or networking.</t>
  </si>
  <si>
    <t>• F64 or larger capacities allow free-license Power BI viewers; smaller F SKUs still require paid viewer licenses.</t>
  </si>
  <si>
    <t>• PPU does not provision Fabric capacity for non-Power BI items such as lakehouses, warehouses, notebooks, or pipelines.</t>
  </si>
  <si>
    <t>Core assumptions</t>
  </si>
  <si>
    <t>Input</t>
  </si>
  <si>
    <t>Value</t>
  </si>
  <si>
    <t>Units</t>
  </si>
  <si>
    <t>Category</t>
  </si>
  <si>
    <t>Description</t>
  </si>
  <si>
    <t>Source / note</t>
  </si>
  <si>
    <t>Power BI Pro license price</t>
  </si>
  <si>
    <t>$/user/month</t>
  </si>
  <si>
    <t>Licensing</t>
  </si>
  <si>
    <t>Official list price; paid yearly shown on pricing page</t>
  </si>
  <si>
    <t>https://www.microsoft.com/en-us/power-platform/products/power-bi/pricing</t>
  </si>
  <si>
    <t>Power BI PPU license price</t>
  </si>
  <si>
    <t>Fabric PAYG price per CU-hour</t>
  </si>
  <si>
    <t>$/CU-hour</t>
  </si>
  <si>
    <t>Capacity</t>
  </si>
  <si>
    <t>Enter current regional Azure price for Fabric capacity</t>
  </si>
  <si>
    <t>https://azure.microsoft.com/en-us/pricing/details/microsoft-fabric/</t>
  </si>
  <si>
    <t>Reservation savings vs PAYG</t>
  </si>
  <si>
    <t>%</t>
  </si>
  <si>
    <t>Azure pricing page says 1 or 3 year reservation can save ~41% vs PAYG</t>
  </si>
  <si>
    <t>Operating hours per day</t>
  </si>
  <si>
    <t>hours/day</t>
  </si>
  <si>
    <t>Use &lt;24 if you plan scheduled pause/resume</t>
  </si>
  <si>
    <t>Assumption</t>
  </si>
  <si>
    <t>Days per month</t>
  </si>
  <si>
    <t>days/month</t>
  </si>
  <si>
    <t>Financial planning convention</t>
  </si>
  <si>
    <t>OneLake storage rate</t>
  </si>
  <si>
    <t>$/GB/month</t>
  </si>
  <si>
    <t>Storage</t>
  </si>
  <si>
    <t>Enter regional storage rate</t>
  </si>
  <si>
    <t>SQL storage / backup rate</t>
  </si>
  <si>
    <t>Optional additional SQL storage charge if applicable</t>
  </si>
  <si>
    <t>Fabric creators / engineers</t>
  </si>
  <si>
    <t>users</t>
  </si>
  <si>
    <t>Users</t>
  </si>
  <si>
    <t>Users creating Fabric items or administering workspaces</t>
  </si>
  <si>
    <t>Power BI publishers</t>
  </si>
  <si>
    <t>Users who publish / share Power BI content; usually need Pro or PPU</t>
  </si>
  <si>
    <t>Paid Power BI viewers if capacity &lt; F64</t>
  </si>
  <si>
    <t>Viewers who require Pro/PPU because workspace is not on F64+</t>
  </si>
  <si>
    <t>Free viewers on F64+ scenario</t>
  </si>
  <si>
    <t>Users viewing Power BI content on F64+ capacity with viewer role</t>
  </si>
  <si>
    <t>OneLake storage used</t>
  </si>
  <si>
    <t>GB</t>
  </si>
  <si>
    <t>Projected billable OneLake GB</t>
  </si>
  <si>
    <t>SQL storage / backup used</t>
  </si>
  <si>
    <t>Projected billable SQL storage GB</t>
  </si>
  <si>
    <t>Autoscale Spark extra CU-hours / month</t>
  </si>
  <si>
    <t>CU-hours/month</t>
  </si>
  <si>
    <t>Spark</t>
  </si>
  <si>
    <t>Optional pay-as-you-go Spark autoscale beyond base capacity</t>
  </si>
  <si>
    <t>Contingency / growth buffer</t>
  </si>
  <si>
    <t>Planning</t>
  </si>
  <si>
    <t>Applied to capacity estimate and cost planning</t>
  </si>
  <si>
    <t>Workload demand inputs for capacity sizing</t>
  </si>
  <si>
    <t>Interactive BI</t>
  </si>
  <si>
    <t>CU-hours/day</t>
  </si>
  <si>
    <t>Demand</t>
  </si>
  <si>
    <t>Daily interactive/reporting compute load</t>
  </si>
  <si>
    <t>Estimate from monitoring or benchmark</t>
  </si>
  <si>
    <t>Scheduled refresh / semantic models</t>
  </si>
  <si>
    <t>Refresh and model processing</t>
  </si>
  <si>
    <t>Estimate</t>
  </si>
  <si>
    <t>Data engineering / pipelines</t>
  </si>
  <si>
    <t>ETL, notebook, warehouse processing</t>
  </si>
  <si>
    <t>Data science / Spark on base capacity</t>
  </si>
  <si>
    <t>Only if not using autoscale Spark billing</t>
  </si>
  <si>
    <t>Peak concurrency factor</t>
  </si>
  <si>
    <t>x</t>
  </si>
  <si>
    <t>Multiplier for peak-time bursts</t>
  </si>
  <si>
    <t>Mission critical SLA uplift</t>
  </si>
  <si>
    <t>Extra headroom for non-throttling design</t>
  </si>
  <si>
    <t>Fabric SKU reference</t>
  </si>
  <si>
    <t>SKU</t>
  </si>
  <si>
    <t>CUs</t>
  </si>
  <si>
    <t>Power BI mapping</t>
  </si>
  <si>
    <t>Free Power BI viewers?</t>
  </si>
  <si>
    <t>Mirroring free TB</t>
  </si>
  <si>
    <t>Gen2 parallel tasks</t>
  </si>
  <si>
    <t>Indicative hourly price</t>
  </si>
  <si>
    <t>Indicative monthly price @ operating hours</t>
  </si>
  <si>
    <t>Reserved monthly price</t>
  </si>
  <si>
    <t>Notes</t>
  </si>
  <si>
    <t>F2</t>
  </si>
  <si>
    <t>-</t>
  </si>
  <si>
    <t>No</t>
  </si>
  <si>
    <t>Regional prices vary; update Inputs first</t>
  </si>
  <si>
    <t>F4</t>
  </si>
  <si>
    <t>F8</t>
  </si>
  <si>
    <t>EM/A1</t>
  </si>
  <si>
    <t>F16</t>
  </si>
  <si>
    <t>EM2/A2</t>
  </si>
  <si>
    <t>F32</t>
  </si>
  <si>
    <t>EM3/A3</t>
  </si>
  <si>
    <t>F64</t>
  </si>
  <si>
    <t>P1/A4</t>
  </si>
  <si>
    <t>Yes</t>
  </si>
  <si>
    <t>F128</t>
  </si>
  <si>
    <t>P2/A5</t>
  </si>
  <si>
    <t>F256</t>
  </si>
  <si>
    <t>P3/A6</t>
  </si>
  <si>
    <t>F512</t>
  </si>
  <si>
    <t>P4/A7</t>
  </si>
  <si>
    <t>F1024</t>
  </si>
  <si>
    <t>P5/A8</t>
  </si>
  <si>
    <t>F2048</t>
  </si>
  <si>
    <t>Capacity sizing logic</t>
  </si>
  <si>
    <t>Metric</t>
  </si>
  <si>
    <t>Formula / explanation</t>
  </si>
  <si>
    <t>Daily BI CU-hours</t>
  </si>
  <si>
    <t>Daily refresh CU-hours</t>
  </si>
  <si>
    <t>Scheduled refresh / processing</t>
  </si>
  <si>
    <t>Daily engineering CU-hours</t>
  </si>
  <si>
    <t>Pipelines / notebooks / warehouse</t>
  </si>
  <si>
    <t>Daily data science CU-hours</t>
  </si>
  <si>
    <t>Base-capacity Spark only</t>
  </si>
  <si>
    <t>Base daily total</t>
  </si>
  <si>
    <t>Sum of workload classes</t>
  </si>
  <si>
    <t>Peak-time multiplier</t>
  </si>
  <si>
    <t>SLA uplift</t>
  </si>
  <si>
    <t>Extra headroom</t>
  </si>
  <si>
    <t>Growth / contingency buffer</t>
  </si>
  <si>
    <t>Planning buffer</t>
  </si>
  <si>
    <t>Effective daily CU-hours</t>
  </si>
  <si>
    <t>Adjusted for peaks and buffers</t>
  </si>
  <si>
    <t>Supports pause/resume economics</t>
  </si>
  <si>
    <t>Required continuous CUs</t>
  </si>
  <si>
    <t>Daily CU-hours spread across active hours</t>
  </si>
  <si>
    <t>Recommended SKU CUs</t>
  </si>
  <si>
    <t>Next available listed SKU</t>
  </si>
  <si>
    <t>Recommended SKU</t>
  </si>
  <si>
    <t>Nearest capacity at or above required CU</t>
  </si>
  <si>
    <t>Sizing guidance</t>
  </si>
  <si>
    <t>Interpretation</t>
  </si>
  <si>
    <t>If the recommended SKU is below F64 but you want free Power BI viewers, evaluate the economics of stepping up to F64 versus licensing viewers individually.</t>
  </si>
  <si>
    <t>If Spark demand is bursty and unpredictable, consider billing Spark separately with Autoscale Billing for Spark rather than sizing the base capacity for peak Spark.</t>
  </si>
  <si>
    <t>Use actual Capacity Metrics data to replace benchmark assumptions wherever possible.</t>
  </si>
  <si>
    <t>Scenario comparison</t>
  </si>
  <si>
    <t>Item</t>
  </si>
  <si>
    <t>Scenario A: Pro / PPU only</t>
  </si>
  <si>
    <t>Scenario B: Fabric &lt; F64 + Pro viewers</t>
  </si>
  <si>
    <t>Scenario C: Fabric F64+ + free viewers</t>
  </si>
  <si>
    <t>PPU only</t>
  </si>
  <si>
    <t>Edit SKU choices here</t>
  </si>
  <si>
    <t>Selected SKU CUs</t>
  </si>
  <si>
    <t>A has no Fabric capacity</t>
  </si>
  <si>
    <t>Monthly Fabric capacity cost (PAYG)</t>
  </si>
  <si>
    <t>$/month</t>
  </si>
  <si>
    <t>From SKU Catalog</t>
  </si>
  <si>
    <t>Monthly Fabric cost (reserved)</t>
  </si>
  <si>
    <t>Optional if reservation used</t>
  </si>
  <si>
    <t>Typically Pro or PPU</t>
  </si>
  <si>
    <t>Paid viewers</t>
  </si>
  <si>
    <t>F64+ allows free viewers with viewer role</t>
  </si>
  <si>
    <t>Free viewers</t>
  </si>
  <si>
    <t>Viewer-role users on F64+</t>
  </si>
  <si>
    <t>Pro license cost</t>
  </si>
  <si>
    <t>Publishers + paid viewers on Pro</t>
  </si>
  <si>
    <t>PPU license cost</t>
  </si>
  <si>
    <t>A assumes only publishers on PPU</t>
  </si>
  <si>
    <t>OneLake storage cost</t>
  </si>
  <si>
    <t>Not covered by reservation</t>
  </si>
  <si>
    <t>SQL storage / backup cost</t>
  </si>
  <si>
    <t>Optional</t>
  </si>
  <si>
    <t>Autoscale Spark extra cost</t>
  </si>
  <si>
    <t>PAYG CU-hour basis</t>
  </si>
  <si>
    <t>Total monthly cost (PAYG)</t>
  </si>
  <si>
    <t>PAYG Fabric case</t>
  </si>
  <si>
    <t>Total monthly cost (with reservation)</t>
  </si>
  <si>
    <t>Reserved Fabric case</t>
  </si>
  <si>
    <t>Fabric + Power BI Economics Summary</t>
  </si>
  <si>
    <t>Key outputs</t>
  </si>
  <si>
    <t>Source</t>
  </si>
  <si>
    <t>Estimated required continuous CUs</t>
  </si>
  <si>
    <t>Sizing</t>
  </si>
  <si>
    <t>Recommended SKU monthly PAYG</t>
  </si>
  <si>
    <t>SKU Catalog</t>
  </si>
  <si>
    <t>Recommended SKU monthly reserved</t>
  </si>
  <si>
    <t>Scenario B total monthly PAYG</t>
  </si>
  <si>
    <t>Scenarios</t>
  </si>
  <si>
    <t>Scenario C total monthly PAYG</t>
  </si>
  <si>
    <t>Scenario B total monthly reserved</t>
  </si>
  <si>
    <t>Scenario C total monthly reserved</t>
  </si>
  <si>
    <t>Viewer licensing break-point comment</t>
  </si>
  <si>
    <t>If many viewers are free on F64+, stepping up from sub-F64 may be cheaper than licensing them individually.</t>
  </si>
  <si>
    <t>text</t>
  </si>
  <si>
    <t>Planning heuristic</t>
  </si>
  <si>
    <t>Scenario chart</t>
  </si>
  <si>
    <t>Scenario</t>
  </si>
  <si>
    <t>PAYG</t>
  </si>
  <si>
    <t>Reserved</t>
  </si>
  <si>
    <t>Fabric &lt; F64</t>
  </si>
  <si>
    <t>Fabric F64+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</si>
</sst>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;[Red]\(\$#,##0.00\);\-"/>
    <numFmt numFmtId="165" formatCode="0.0%"/>
    <numFmt numFmtId="166" formatCode="#,##0;[Red]\(#,##0\);\-"/>
    <numFmt numFmtId="167" formatCode="0.00\x"/>
  </numFmts>
  <fonts count="9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2"/>
      <name val="Calibri"/>
    </font>
    <font>
      <b/>
      <sz val="12"/>
      <color rgb="FFFFFFFF"/>
      <name val="Calibri"/>
    </font>
    <font>
      <b/>
      <sz val="11"/>
      <color rgb="FF000000"/>
      <name val="Calibri"/>
    </font>
    <font>
      <sz val="11"/>
      <color rgb="FF666666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medium">
        <color rgb="FF1F4E78"/>
      </bottom>
      <diagonal/>
    </border>
    <border>
      <left/>
      <right/>
      <top/>
      <bottom style="medium">
        <color rgb="FF1F4E7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64" fontId="6" fillId="4" borderId="0" xfId="0" applyNumberFormat="1" applyFont="1" applyFill="1" applyAlignment="1">
      <alignment vertical="center" wrapText="1"/>
    </xf>
    <xf numFmtId="165" fontId="6" fillId="4" borderId="0" xfId="0" applyNumberFormat="1" applyFont="1" applyFill="1" applyAlignment="1">
      <alignment vertical="center" wrapText="1"/>
    </xf>
    <xf numFmtId="166" fontId="6" fillId="4" borderId="0" xfId="0" applyNumberFormat="1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167" fontId="6" fillId="4" borderId="0" xfId="0" applyNumberFormat="1" applyFont="1" applyFill="1" applyAlignment="1">
      <alignment vertical="center" wrapText="1"/>
    </xf>
    <xf numFmtId="164" fontId="7" fillId="0" borderId="0" xfId="0" applyNumberFormat="1" applyFont="1" applyAlignment="1">
      <alignment vertical="center" wrapText="1"/>
    </xf>
    <xf numFmtId="166" fontId="7" fillId="0" borderId="0" xfId="0" applyNumberFormat="1" applyFont="1" applyAlignment="1">
      <alignment vertical="center" wrapText="1"/>
    </xf>
    <xf numFmtId="167" fontId="7" fillId="0" borderId="0" xfId="0" applyNumberFormat="1" applyFont="1" applyAlignment="1">
      <alignment vertical="center" wrapText="1"/>
    </xf>
    <xf numFmtId="165" fontId="7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3" fillId="2" borderId="3" xfId="0" applyFont="1" applyFill="1" applyBorder="1" applyAlignment="1">
      <alignment horizontal="left"/>
    </xf>
    <xf numFmtId="0" fontId="0" fillId="0" borderId="2" xfId="0" applyBorder="1"/>
  </cellXfs>
  <cellStyles count="1">
    <cellStyle name="Normal" xfId="0" builtinId="0"/>
  </cellStyles>
  <dxfs count="2">
    <dxf>
      <fill>
        <patternFill>
          <bgColor rgb="FFFDE9E7"/>
        </patternFill>
      </fill>
    </dxf>
    <dxf>
      <fill>
        <patternFill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762000</xdr:colOff>
      <xdr:row>25</xdr:row>
      <xdr:rowOff>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08EE558D-7541-7047-2864-5A821AD758C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762000</xdr:colOff>
      <xdr:row>25</xdr:row>
      <xdr:rowOff>0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FD37CFA5-F872-349F-C6A7-724476E684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2705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63500</xdr:colOff>
      <xdr:row>29</xdr:row>
      <xdr:rowOff>101600</xdr:rowOff>
    </xdr:to>
    <xdr:sp macro="" textlink="">
      <xdr:nvSpPr>
        <xdr:cNvPr id="2052" name="Text Box 4" hidden="1">
          <a:extLst>
            <a:ext uri="{FF2B5EF4-FFF2-40B4-BE49-F238E27FC236}">
              <a16:creationId xmlns:a16="http://schemas.microsoft.com/office/drawing/2014/main" id="{4A4FB653-584E-FA54-021A-C53EC4C0163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63500</xdr:colOff>
      <xdr:row>29</xdr:row>
      <xdr:rowOff>101600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7F871F2E-5E5C-D58F-B89B-E7D14F7FC5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56895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showGridLines="0" workbookViewId="0">
      <selection sqref="A1:A18"/>
    </sheetView>
  </sheetViews>
  <sheetFormatPr defaultRowHeight="14.5" x14ac:dyDescent="0.35"/>
  <cols>
    <col min="1" max="1" width="120" customWidth="1"/>
  </cols>
  <sheetData>
    <row r="1" spans="1:1" ht="20" customHeight="1" x14ac:dyDescent="0.55000000000000004">
      <c r="A1" s="1" t="s">
        <v>0</v>
      </c>
    </row>
    <row r="2" spans="1:1" ht="20" customHeight="1" x14ac:dyDescent="0.35">
      <c r="A2" s="2"/>
    </row>
    <row r="3" spans="1:1" ht="20" customHeight="1" x14ac:dyDescent="0.35">
      <c r="A3" s="3" t="s">
        <v>1</v>
      </c>
    </row>
    <row r="4" spans="1:1" ht="45" customHeight="1" x14ac:dyDescent="0.35">
      <c r="A4" s="4" t="s">
        <v>2</v>
      </c>
    </row>
    <row r="5" spans="1:1" ht="20" customHeight="1" x14ac:dyDescent="0.35">
      <c r="A5" s="2"/>
    </row>
    <row r="6" spans="1:1" ht="20" customHeight="1" x14ac:dyDescent="0.35">
      <c r="A6" s="2" t="s">
        <v>3</v>
      </c>
    </row>
    <row r="7" spans="1:1" ht="20" customHeight="1" x14ac:dyDescent="0.35">
      <c r="A7" s="2" t="s">
        <v>4</v>
      </c>
    </row>
    <row r="8" spans="1:1" ht="20" customHeight="1" x14ac:dyDescent="0.35">
      <c r="A8" s="2" t="s">
        <v>5</v>
      </c>
    </row>
    <row r="9" spans="1:1" ht="20" customHeight="1" x14ac:dyDescent="0.35">
      <c r="A9" s="2" t="s">
        <v>6</v>
      </c>
    </row>
    <row r="10" spans="1:1" ht="20" customHeight="1" x14ac:dyDescent="0.35">
      <c r="A10" s="2" t="s">
        <v>7</v>
      </c>
    </row>
    <row r="11" spans="1:1" ht="20" customHeight="1" x14ac:dyDescent="0.35">
      <c r="A11" s="2"/>
    </row>
    <row r="12" spans="1:1" ht="20" customHeight="1" x14ac:dyDescent="0.35">
      <c r="A12" s="2"/>
    </row>
    <row r="13" spans="1:1" ht="20" customHeight="1" x14ac:dyDescent="0.35">
      <c r="A13" s="3" t="s">
        <v>8</v>
      </c>
    </row>
    <row r="14" spans="1:1" ht="24" customHeight="1" x14ac:dyDescent="0.35">
      <c r="A14" s="2" t="s">
        <v>9</v>
      </c>
    </row>
    <row r="15" spans="1:1" ht="24" customHeight="1" x14ac:dyDescent="0.35">
      <c r="A15" s="2" t="s">
        <v>10</v>
      </c>
    </row>
    <row r="16" spans="1:1" ht="24" customHeight="1" x14ac:dyDescent="0.35">
      <c r="A16" s="2" t="s">
        <v>11</v>
      </c>
    </row>
    <row r="17" spans="1:1" ht="24" customHeight="1" x14ac:dyDescent="0.35">
      <c r="A17" s="2" t="s">
        <v>12</v>
      </c>
    </row>
    <row r="18" spans="1:1" ht="24" customHeight="1" x14ac:dyDescent="0.35">
      <c r="A18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showGridLines="0" workbookViewId="0">
      <selection activeCell="B6" sqref="B6"/>
    </sheetView>
  </sheetViews>
  <sheetFormatPr defaultRowHeight="14.5" x14ac:dyDescent="0.35"/>
  <cols>
    <col min="1" max="1" width="34.81640625" bestFit="1" customWidth="1"/>
    <col min="2" max="2" width="6.36328125" bestFit="1" customWidth="1"/>
    <col min="3" max="3" width="15.08984375" bestFit="1" customWidth="1"/>
    <col min="4" max="4" width="8.26953125" bestFit="1" customWidth="1"/>
    <col min="5" max="5" width="59.90625" bestFit="1" customWidth="1"/>
    <col min="6" max="6" width="67.90625" bestFit="1" customWidth="1"/>
  </cols>
  <sheetData>
    <row r="1" spans="1:8" ht="20" customHeight="1" x14ac:dyDescent="0.35">
      <c r="A1" s="19" t="s">
        <v>14</v>
      </c>
      <c r="B1" s="20"/>
      <c r="C1" s="20"/>
      <c r="D1" s="20"/>
      <c r="E1" s="20"/>
      <c r="F1" s="20"/>
      <c r="G1" s="20"/>
      <c r="H1" s="20"/>
    </row>
    <row r="2" spans="1:8" ht="20" customHeight="1" x14ac:dyDescent="0.35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2"/>
      <c r="H2" s="2"/>
    </row>
    <row r="3" spans="1:8" ht="20" customHeight="1" x14ac:dyDescent="0.35">
      <c r="A3" s="6" t="s">
        <v>21</v>
      </c>
      <c r="B3" s="7">
        <v>14</v>
      </c>
      <c r="C3" s="6" t="s">
        <v>22</v>
      </c>
      <c r="D3" s="6" t="s">
        <v>23</v>
      </c>
      <c r="E3" s="6" t="s">
        <v>24</v>
      </c>
      <c r="F3" s="6" t="s">
        <v>25</v>
      </c>
      <c r="G3" s="2"/>
      <c r="H3" s="2"/>
    </row>
    <row r="4" spans="1:8" ht="20" customHeight="1" x14ac:dyDescent="0.35">
      <c r="A4" s="6" t="s">
        <v>26</v>
      </c>
      <c r="B4" s="7">
        <v>24</v>
      </c>
      <c r="C4" s="6" t="s">
        <v>22</v>
      </c>
      <c r="D4" s="6" t="s">
        <v>23</v>
      </c>
      <c r="E4" s="6" t="s">
        <v>24</v>
      </c>
      <c r="F4" s="6" t="s">
        <v>25</v>
      </c>
      <c r="G4" s="2"/>
      <c r="H4" s="2"/>
    </row>
    <row r="5" spans="1:8" ht="20" customHeight="1" x14ac:dyDescent="0.35">
      <c r="A5" s="6" t="s">
        <v>27</v>
      </c>
      <c r="B5" s="7">
        <v>0.18</v>
      </c>
      <c r="C5" s="6" t="s">
        <v>28</v>
      </c>
      <c r="D5" s="6" t="s">
        <v>29</v>
      </c>
      <c r="E5" s="6" t="s">
        <v>30</v>
      </c>
      <c r="F5" s="6" t="s">
        <v>31</v>
      </c>
      <c r="G5" s="2"/>
      <c r="H5" s="2"/>
    </row>
    <row r="6" spans="1:8" ht="20" customHeight="1" x14ac:dyDescent="0.35">
      <c r="A6" s="6" t="s">
        <v>32</v>
      </c>
      <c r="B6" s="8">
        <v>0.41</v>
      </c>
      <c r="C6" s="6" t="s">
        <v>33</v>
      </c>
      <c r="D6" s="6" t="s">
        <v>29</v>
      </c>
      <c r="E6" s="6" t="s">
        <v>34</v>
      </c>
      <c r="F6" s="6" t="s">
        <v>31</v>
      </c>
      <c r="G6" s="2"/>
      <c r="H6" s="2"/>
    </row>
    <row r="7" spans="1:8" ht="20" customHeight="1" x14ac:dyDescent="0.35">
      <c r="A7" s="6" t="s">
        <v>35</v>
      </c>
      <c r="B7" s="9">
        <v>24</v>
      </c>
      <c r="C7" s="6" t="s">
        <v>36</v>
      </c>
      <c r="D7" s="6" t="s">
        <v>29</v>
      </c>
      <c r="E7" s="6" t="s">
        <v>37</v>
      </c>
      <c r="F7" s="6" t="s">
        <v>38</v>
      </c>
      <c r="G7" s="2"/>
      <c r="H7" s="2"/>
    </row>
    <row r="8" spans="1:8" ht="20" customHeight="1" x14ac:dyDescent="0.35">
      <c r="A8" s="6" t="s">
        <v>39</v>
      </c>
      <c r="B8" s="10">
        <v>30</v>
      </c>
      <c r="C8" s="6" t="s">
        <v>40</v>
      </c>
      <c r="D8" s="6" t="s">
        <v>29</v>
      </c>
      <c r="E8" s="6" t="s">
        <v>41</v>
      </c>
      <c r="F8" s="6" t="s">
        <v>38</v>
      </c>
      <c r="G8" s="2"/>
      <c r="H8" s="2"/>
    </row>
    <row r="9" spans="1:8" ht="20" customHeight="1" x14ac:dyDescent="0.35">
      <c r="A9" s="6" t="s">
        <v>42</v>
      </c>
      <c r="B9" s="7">
        <v>2.3E-2</v>
      </c>
      <c r="C9" s="6" t="s">
        <v>43</v>
      </c>
      <c r="D9" s="6" t="s">
        <v>44</v>
      </c>
      <c r="E9" s="6" t="s">
        <v>45</v>
      </c>
      <c r="F9" s="6" t="s">
        <v>31</v>
      </c>
      <c r="G9" s="2"/>
      <c r="H9" s="2"/>
    </row>
    <row r="10" spans="1:8" ht="20" customHeight="1" x14ac:dyDescent="0.35">
      <c r="A10" s="6" t="s">
        <v>46</v>
      </c>
      <c r="B10" s="7">
        <v>0.25</v>
      </c>
      <c r="C10" s="6" t="s">
        <v>43</v>
      </c>
      <c r="D10" s="6" t="s">
        <v>44</v>
      </c>
      <c r="E10" s="6" t="s">
        <v>47</v>
      </c>
      <c r="F10" s="6" t="s">
        <v>31</v>
      </c>
      <c r="G10" s="2"/>
      <c r="H10" s="2"/>
    </row>
    <row r="11" spans="1:8" ht="20" customHeight="1" x14ac:dyDescent="0.35">
      <c r="A11" s="6" t="s">
        <v>48</v>
      </c>
      <c r="B11" s="9">
        <v>25</v>
      </c>
      <c r="C11" s="6" t="s">
        <v>49</v>
      </c>
      <c r="D11" s="6" t="s">
        <v>50</v>
      </c>
      <c r="E11" s="6" t="s">
        <v>51</v>
      </c>
      <c r="F11" s="6" t="s">
        <v>38</v>
      </c>
      <c r="G11" s="2"/>
      <c r="H11" s="2"/>
    </row>
    <row r="12" spans="1:8" ht="20" customHeight="1" x14ac:dyDescent="0.35">
      <c r="A12" s="6" t="s">
        <v>52</v>
      </c>
      <c r="B12" s="9">
        <v>40</v>
      </c>
      <c r="C12" s="6" t="s">
        <v>49</v>
      </c>
      <c r="D12" s="6" t="s">
        <v>50</v>
      </c>
      <c r="E12" s="6" t="s">
        <v>53</v>
      </c>
      <c r="F12" s="6" t="s">
        <v>38</v>
      </c>
      <c r="G12" s="2"/>
      <c r="H12" s="2"/>
    </row>
    <row r="13" spans="1:8" ht="20" customHeight="1" x14ac:dyDescent="0.35">
      <c r="A13" s="6" t="s">
        <v>54</v>
      </c>
      <c r="B13" s="9">
        <v>300</v>
      </c>
      <c r="C13" s="6" t="s">
        <v>49</v>
      </c>
      <c r="D13" s="6" t="s">
        <v>50</v>
      </c>
      <c r="E13" s="6" t="s">
        <v>55</v>
      </c>
      <c r="F13" s="6" t="s">
        <v>38</v>
      </c>
      <c r="G13" s="2"/>
      <c r="H13" s="2"/>
    </row>
    <row r="14" spans="1:8" ht="20" customHeight="1" x14ac:dyDescent="0.35">
      <c r="A14" s="6" t="s">
        <v>56</v>
      </c>
      <c r="B14" s="9">
        <v>1500</v>
      </c>
      <c r="C14" s="6" t="s">
        <v>49</v>
      </c>
      <c r="D14" s="6" t="s">
        <v>50</v>
      </c>
      <c r="E14" s="6" t="s">
        <v>57</v>
      </c>
      <c r="F14" s="6" t="s">
        <v>38</v>
      </c>
      <c r="G14" s="2"/>
      <c r="H14" s="2"/>
    </row>
    <row r="15" spans="1:8" ht="20" customHeight="1" x14ac:dyDescent="0.35">
      <c r="A15" s="6" t="s">
        <v>58</v>
      </c>
      <c r="B15" s="9">
        <v>15000</v>
      </c>
      <c r="C15" s="6" t="s">
        <v>59</v>
      </c>
      <c r="D15" s="6" t="s">
        <v>44</v>
      </c>
      <c r="E15" s="6" t="s">
        <v>60</v>
      </c>
      <c r="F15" s="6" t="s">
        <v>38</v>
      </c>
      <c r="G15" s="2"/>
      <c r="H15" s="2"/>
    </row>
    <row r="16" spans="1:8" ht="20" customHeight="1" x14ac:dyDescent="0.35">
      <c r="A16" s="6" t="s">
        <v>61</v>
      </c>
      <c r="B16" s="9">
        <v>2000</v>
      </c>
      <c r="C16" s="6" t="s">
        <v>59</v>
      </c>
      <c r="D16" s="6" t="s">
        <v>44</v>
      </c>
      <c r="E16" s="6" t="s">
        <v>62</v>
      </c>
      <c r="F16" s="6" t="s">
        <v>38</v>
      </c>
      <c r="G16" s="2"/>
      <c r="H16" s="2"/>
    </row>
    <row r="17" spans="1:8" ht="20" customHeight="1" x14ac:dyDescent="0.35">
      <c r="A17" s="6" t="s">
        <v>63</v>
      </c>
      <c r="B17" s="9">
        <v>0</v>
      </c>
      <c r="C17" s="6" t="s">
        <v>64</v>
      </c>
      <c r="D17" s="6" t="s">
        <v>65</v>
      </c>
      <c r="E17" s="6" t="s">
        <v>66</v>
      </c>
      <c r="F17" s="6" t="s">
        <v>31</v>
      </c>
      <c r="G17" s="2"/>
      <c r="H17" s="2"/>
    </row>
    <row r="18" spans="1:8" ht="20" customHeight="1" x14ac:dyDescent="0.35">
      <c r="A18" s="6" t="s">
        <v>67</v>
      </c>
      <c r="B18" s="8">
        <v>0.2</v>
      </c>
      <c r="C18" s="6" t="s">
        <v>33</v>
      </c>
      <c r="D18" s="6" t="s">
        <v>68</v>
      </c>
      <c r="E18" s="6" t="s">
        <v>69</v>
      </c>
      <c r="F18" s="6" t="s">
        <v>38</v>
      </c>
      <c r="G18" s="2"/>
      <c r="H18" s="2"/>
    </row>
    <row r="19" spans="1:8" ht="20" customHeight="1" x14ac:dyDescent="0.35">
      <c r="A19" s="2"/>
      <c r="B19" s="2"/>
      <c r="C19" s="2"/>
      <c r="D19" s="2"/>
      <c r="E19" s="2"/>
      <c r="F19" s="2"/>
      <c r="G19" s="2"/>
      <c r="H19" s="2"/>
    </row>
    <row r="20" spans="1:8" ht="20" customHeight="1" x14ac:dyDescent="0.35">
      <c r="A20" s="2"/>
      <c r="B20" s="2"/>
      <c r="C20" s="2"/>
      <c r="D20" s="2"/>
      <c r="E20" s="2"/>
      <c r="F20" s="2"/>
      <c r="G20" s="2"/>
      <c r="H20" s="2"/>
    </row>
    <row r="21" spans="1:8" ht="20" customHeight="1" x14ac:dyDescent="0.35">
      <c r="A21" s="19" t="s">
        <v>70</v>
      </c>
      <c r="B21" s="20"/>
      <c r="C21" s="20"/>
      <c r="D21" s="20"/>
      <c r="E21" s="20"/>
      <c r="F21" s="20"/>
      <c r="G21" s="20"/>
      <c r="H21" s="20"/>
    </row>
    <row r="22" spans="1:8" ht="20" customHeight="1" x14ac:dyDescent="0.35">
      <c r="A22" s="5" t="s">
        <v>15</v>
      </c>
      <c r="B22" s="5" t="s">
        <v>16</v>
      </c>
      <c r="C22" s="5" t="s">
        <v>17</v>
      </c>
      <c r="D22" s="5" t="s">
        <v>18</v>
      </c>
      <c r="E22" s="5" t="s">
        <v>19</v>
      </c>
      <c r="F22" s="5" t="s">
        <v>20</v>
      </c>
      <c r="G22" s="2"/>
      <c r="H22" s="2"/>
    </row>
    <row r="23" spans="1:8" ht="20" customHeight="1" x14ac:dyDescent="0.35">
      <c r="A23" s="6" t="s">
        <v>71</v>
      </c>
      <c r="B23" s="9">
        <v>800</v>
      </c>
      <c r="C23" s="6" t="s">
        <v>72</v>
      </c>
      <c r="D23" s="6" t="s">
        <v>73</v>
      </c>
      <c r="E23" s="6" t="s">
        <v>74</v>
      </c>
      <c r="F23" s="6" t="s">
        <v>75</v>
      </c>
      <c r="G23" s="2"/>
      <c r="H23" s="2"/>
    </row>
    <row r="24" spans="1:8" ht="20" customHeight="1" x14ac:dyDescent="0.35">
      <c r="A24" s="6" t="s">
        <v>76</v>
      </c>
      <c r="B24" s="9">
        <v>250</v>
      </c>
      <c r="C24" s="6" t="s">
        <v>72</v>
      </c>
      <c r="D24" s="6" t="s">
        <v>73</v>
      </c>
      <c r="E24" s="6" t="s">
        <v>77</v>
      </c>
      <c r="F24" s="6" t="s">
        <v>78</v>
      </c>
      <c r="G24" s="2"/>
      <c r="H24" s="2"/>
    </row>
    <row r="25" spans="1:8" ht="20" customHeight="1" x14ac:dyDescent="0.35">
      <c r="A25" s="6" t="s">
        <v>79</v>
      </c>
      <c r="B25" s="9">
        <v>400</v>
      </c>
      <c r="C25" s="6" t="s">
        <v>72</v>
      </c>
      <c r="D25" s="6" t="s">
        <v>73</v>
      </c>
      <c r="E25" s="6" t="s">
        <v>80</v>
      </c>
      <c r="F25" s="6" t="s">
        <v>78</v>
      </c>
      <c r="G25" s="2"/>
      <c r="H25" s="2"/>
    </row>
    <row r="26" spans="1:8" ht="20" customHeight="1" x14ac:dyDescent="0.35">
      <c r="A26" s="6" t="s">
        <v>81</v>
      </c>
      <c r="B26" s="9">
        <v>150</v>
      </c>
      <c r="C26" s="6" t="s">
        <v>72</v>
      </c>
      <c r="D26" s="6" t="s">
        <v>73</v>
      </c>
      <c r="E26" s="6" t="s">
        <v>82</v>
      </c>
      <c r="F26" s="6" t="s">
        <v>78</v>
      </c>
      <c r="G26" s="2"/>
      <c r="H26" s="2"/>
    </row>
    <row r="27" spans="1:8" ht="20" customHeight="1" x14ac:dyDescent="0.35">
      <c r="A27" s="6" t="s">
        <v>83</v>
      </c>
      <c r="B27" s="11">
        <v>1.25</v>
      </c>
      <c r="C27" s="6" t="s">
        <v>84</v>
      </c>
      <c r="D27" s="6" t="s">
        <v>73</v>
      </c>
      <c r="E27" s="6" t="s">
        <v>85</v>
      </c>
      <c r="F27" s="6" t="s">
        <v>38</v>
      </c>
      <c r="G27" s="2"/>
      <c r="H27" s="2"/>
    </row>
    <row r="28" spans="1:8" ht="20" customHeight="1" x14ac:dyDescent="0.35">
      <c r="A28" s="6" t="s">
        <v>86</v>
      </c>
      <c r="B28" s="8">
        <v>0.1</v>
      </c>
      <c r="C28" s="6" t="s">
        <v>33</v>
      </c>
      <c r="D28" s="6" t="s">
        <v>73</v>
      </c>
      <c r="E28" s="6" t="s">
        <v>87</v>
      </c>
      <c r="F28" s="6" t="s">
        <v>38</v>
      </c>
      <c r="G28" s="2"/>
      <c r="H28" s="2"/>
    </row>
  </sheetData>
  <mergeCells count="2">
    <mergeCell ref="A21:H21"/>
    <mergeCell ref="A1:H1"/>
  </mergeCells>
  <conditionalFormatting sqref="B5">
    <cfRule type="expression" dxfId="1" priority="1">
      <formula>B5=""</formula>
    </cfRule>
  </conditionalFormatting>
  <conditionalFormatting sqref="B9:B10">
    <cfRule type="expression" dxfId="0" priority="2">
      <formula>B9=""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showGridLines="0" workbookViewId="0">
      <selection activeCell="H3" sqref="H3"/>
    </sheetView>
  </sheetViews>
  <sheetFormatPr defaultRowHeight="14.5" x14ac:dyDescent="0.35"/>
  <cols>
    <col min="1" max="1" width="5.7265625" bestFit="1" customWidth="1"/>
    <col min="2" max="2" width="4.81640625" bestFit="1" customWidth="1"/>
    <col min="3" max="3" width="16.08984375" bestFit="1" customWidth="1"/>
    <col min="4" max="4" width="20.26953125" bestFit="1" customWidth="1"/>
    <col min="5" max="5" width="15.1796875" bestFit="1" customWidth="1"/>
    <col min="6" max="6" width="16.7265625" bestFit="1" customWidth="1"/>
    <col min="7" max="7" width="19.453125" bestFit="1" customWidth="1"/>
    <col min="8" max="8" width="37.6328125" bestFit="1" customWidth="1"/>
    <col min="9" max="9" width="20.6328125" bestFit="1" customWidth="1"/>
    <col min="10" max="10" width="38" customWidth="1"/>
  </cols>
  <sheetData>
    <row r="1" spans="1:10" ht="20" customHeight="1" x14ac:dyDescent="0.35">
      <c r="A1" s="19" t="s">
        <v>88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20" customHeight="1" x14ac:dyDescent="0.35">
      <c r="A2" s="5" t="s">
        <v>89</v>
      </c>
      <c r="B2" s="5" t="s">
        <v>90</v>
      </c>
      <c r="C2" s="5" t="s">
        <v>91</v>
      </c>
      <c r="D2" s="5" t="s">
        <v>92</v>
      </c>
      <c r="E2" s="5" t="s">
        <v>93</v>
      </c>
      <c r="F2" s="5" t="s">
        <v>94</v>
      </c>
      <c r="G2" s="5" t="s">
        <v>95</v>
      </c>
      <c r="H2" s="5" t="s">
        <v>96</v>
      </c>
      <c r="I2" s="5" t="s">
        <v>97</v>
      </c>
      <c r="J2" s="5" t="s">
        <v>98</v>
      </c>
    </row>
    <row r="3" spans="1:10" ht="20" customHeight="1" x14ac:dyDescent="0.35">
      <c r="A3" s="6" t="s">
        <v>99</v>
      </c>
      <c r="B3" s="6">
        <v>2</v>
      </c>
      <c r="C3" s="6" t="s">
        <v>100</v>
      </c>
      <c r="D3" s="6" t="s">
        <v>101</v>
      </c>
      <c r="E3" s="6">
        <v>2</v>
      </c>
      <c r="F3" s="6">
        <v>96</v>
      </c>
      <c r="G3" s="12">
        <f>B3*Inputs!$B$5</f>
        <v>0.36</v>
      </c>
      <c r="H3" s="12">
        <f>G3*Inputs!$B$7*Inputs!$B$8</f>
        <v>259.20000000000005</v>
      </c>
      <c r="I3" s="12">
        <f>H3*(1-Inputs!$B$6)</f>
        <v>152.92800000000005</v>
      </c>
      <c r="J3" s="2" t="s">
        <v>102</v>
      </c>
    </row>
    <row r="4" spans="1:10" ht="20" customHeight="1" x14ac:dyDescent="0.35">
      <c r="A4" s="6" t="s">
        <v>103</v>
      </c>
      <c r="B4" s="6">
        <v>4</v>
      </c>
      <c r="C4" s="6" t="s">
        <v>100</v>
      </c>
      <c r="D4" s="6" t="s">
        <v>101</v>
      </c>
      <c r="E4" s="6">
        <v>4</v>
      </c>
      <c r="F4" s="6">
        <v>96</v>
      </c>
      <c r="G4" s="12">
        <f>B4*Inputs!$B$5</f>
        <v>0.72</v>
      </c>
      <c r="H4" s="12">
        <f>G4*Inputs!$B$7*Inputs!$B$8</f>
        <v>518.40000000000009</v>
      </c>
      <c r="I4" s="12">
        <f>H4*(1-Inputs!$B$6)</f>
        <v>305.85600000000011</v>
      </c>
      <c r="J4" s="2" t="s">
        <v>102</v>
      </c>
    </row>
    <row r="5" spans="1:10" ht="20" customHeight="1" x14ac:dyDescent="0.35">
      <c r="A5" s="6" t="s">
        <v>104</v>
      </c>
      <c r="B5" s="6">
        <v>8</v>
      </c>
      <c r="C5" s="6" t="s">
        <v>105</v>
      </c>
      <c r="D5" s="6" t="s">
        <v>101</v>
      </c>
      <c r="E5" s="6">
        <v>8</v>
      </c>
      <c r="F5" s="6">
        <v>96</v>
      </c>
      <c r="G5" s="12">
        <f>B5*Inputs!$B$5</f>
        <v>1.44</v>
      </c>
      <c r="H5" s="12">
        <f>G5*Inputs!$B$7*Inputs!$B$8</f>
        <v>1036.8000000000002</v>
      </c>
      <c r="I5" s="12">
        <f>H5*(1-Inputs!$B$6)</f>
        <v>611.71200000000022</v>
      </c>
      <c r="J5" s="2" t="s">
        <v>102</v>
      </c>
    </row>
    <row r="6" spans="1:10" ht="20" customHeight="1" x14ac:dyDescent="0.35">
      <c r="A6" s="6" t="s">
        <v>106</v>
      </c>
      <c r="B6" s="6">
        <v>16</v>
      </c>
      <c r="C6" s="6" t="s">
        <v>107</v>
      </c>
      <c r="D6" s="6" t="s">
        <v>101</v>
      </c>
      <c r="E6" s="6">
        <v>16</v>
      </c>
      <c r="F6" s="6">
        <v>96</v>
      </c>
      <c r="G6" s="12">
        <f>B6*Inputs!$B$5</f>
        <v>2.88</v>
      </c>
      <c r="H6" s="12">
        <f>G6*Inputs!$B$7*Inputs!$B$8</f>
        <v>2073.6000000000004</v>
      </c>
      <c r="I6" s="12">
        <f>H6*(1-Inputs!$B$6)</f>
        <v>1223.4240000000004</v>
      </c>
      <c r="J6" s="2" t="s">
        <v>102</v>
      </c>
    </row>
    <row r="7" spans="1:10" ht="20" customHeight="1" x14ac:dyDescent="0.35">
      <c r="A7" s="6" t="s">
        <v>108</v>
      </c>
      <c r="B7" s="6">
        <v>32</v>
      </c>
      <c r="C7" s="6" t="s">
        <v>109</v>
      </c>
      <c r="D7" s="6" t="s">
        <v>101</v>
      </c>
      <c r="E7" s="6">
        <v>32</v>
      </c>
      <c r="F7" s="6">
        <v>96</v>
      </c>
      <c r="G7" s="12">
        <f>B7*Inputs!$B$5</f>
        <v>5.76</v>
      </c>
      <c r="H7" s="12">
        <f>G7*Inputs!$B$7*Inputs!$B$8</f>
        <v>4147.2000000000007</v>
      </c>
      <c r="I7" s="12">
        <f>H7*(1-Inputs!$B$6)</f>
        <v>2446.8480000000009</v>
      </c>
      <c r="J7" s="2" t="s">
        <v>102</v>
      </c>
    </row>
    <row r="8" spans="1:10" ht="20" customHeight="1" x14ac:dyDescent="0.35">
      <c r="A8" s="6" t="s">
        <v>110</v>
      </c>
      <c r="B8" s="6">
        <v>64</v>
      </c>
      <c r="C8" s="6" t="s">
        <v>111</v>
      </c>
      <c r="D8" s="6" t="s">
        <v>112</v>
      </c>
      <c r="E8" s="6">
        <v>64</v>
      </c>
      <c r="F8" s="6">
        <v>384</v>
      </c>
      <c r="G8" s="12">
        <f>B8*Inputs!$B$5</f>
        <v>11.52</v>
      </c>
      <c r="H8" s="12">
        <f>G8*Inputs!$B$7*Inputs!$B$8</f>
        <v>8294.4000000000015</v>
      </c>
      <c r="I8" s="12">
        <f>H8*(1-Inputs!$B$6)</f>
        <v>4893.6960000000017</v>
      </c>
      <c r="J8" s="2" t="s">
        <v>102</v>
      </c>
    </row>
    <row r="9" spans="1:10" ht="20" customHeight="1" x14ac:dyDescent="0.35">
      <c r="A9" s="6" t="s">
        <v>113</v>
      </c>
      <c r="B9" s="6">
        <v>128</v>
      </c>
      <c r="C9" s="6" t="s">
        <v>114</v>
      </c>
      <c r="D9" s="6" t="s">
        <v>112</v>
      </c>
      <c r="E9" s="6">
        <v>128</v>
      </c>
      <c r="F9" s="6">
        <v>384</v>
      </c>
      <c r="G9" s="12">
        <f>B9*Inputs!$B$5</f>
        <v>23.04</v>
      </c>
      <c r="H9" s="12">
        <f>G9*Inputs!$B$7*Inputs!$B$8</f>
        <v>16588.800000000003</v>
      </c>
      <c r="I9" s="12">
        <f>H9*(1-Inputs!$B$6)</f>
        <v>9787.3920000000035</v>
      </c>
      <c r="J9" s="2" t="s">
        <v>102</v>
      </c>
    </row>
    <row r="10" spans="1:10" ht="20" customHeight="1" x14ac:dyDescent="0.35">
      <c r="A10" s="6" t="s">
        <v>115</v>
      </c>
      <c r="B10" s="6">
        <v>256</v>
      </c>
      <c r="C10" s="6" t="s">
        <v>116</v>
      </c>
      <c r="D10" s="6" t="s">
        <v>112</v>
      </c>
      <c r="E10" s="6">
        <v>256</v>
      </c>
      <c r="F10" s="6">
        <v>384</v>
      </c>
      <c r="G10" s="12">
        <f>B10*Inputs!$B$5</f>
        <v>46.08</v>
      </c>
      <c r="H10" s="12">
        <f>G10*Inputs!$B$7*Inputs!$B$8</f>
        <v>33177.600000000006</v>
      </c>
      <c r="I10" s="12">
        <f>H10*(1-Inputs!$B$6)</f>
        <v>19574.784000000007</v>
      </c>
      <c r="J10" s="2" t="s">
        <v>102</v>
      </c>
    </row>
    <row r="11" spans="1:10" ht="20" customHeight="1" x14ac:dyDescent="0.35">
      <c r="A11" s="6" t="s">
        <v>117</v>
      </c>
      <c r="B11" s="6">
        <v>512</v>
      </c>
      <c r="C11" s="6" t="s">
        <v>118</v>
      </c>
      <c r="D11" s="6" t="s">
        <v>112</v>
      </c>
      <c r="E11" s="6">
        <v>512</v>
      </c>
      <c r="F11" s="6">
        <v>1536</v>
      </c>
      <c r="G11" s="12">
        <f>B11*Inputs!$B$5</f>
        <v>92.16</v>
      </c>
      <c r="H11" s="12">
        <f>G11*Inputs!$B$7*Inputs!$B$8</f>
        <v>66355.200000000012</v>
      </c>
      <c r="I11" s="12">
        <f>H11*(1-Inputs!$B$6)</f>
        <v>39149.568000000014</v>
      </c>
      <c r="J11" s="2" t="s">
        <v>102</v>
      </c>
    </row>
    <row r="12" spans="1:10" ht="20" customHeight="1" x14ac:dyDescent="0.35">
      <c r="A12" s="6" t="s">
        <v>119</v>
      </c>
      <c r="B12" s="6">
        <v>1024</v>
      </c>
      <c r="C12" s="6" t="s">
        <v>120</v>
      </c>
      <c r="D12" s="6" t="s">
        <v>112</v>
      </c>
      <c r="E12" s="6">
        <v>1024</v>
      </c>
      <c r="F12" s="6">
        <v>1536</v>
      </c>
      <c r="G12" s="12">
        <f>B12*Inputs!$B$5</f>
        <v>184.32</v>
      </c>
      <c r="H12" s="12">
        <f>G12*Inputs!$B$7*Inputs!$B$8</f>
        <v>132710.40000000002</v>
      </c>
      <c r="I12" s="12">
        <f>H12*(1-Inputs!$B$6)</f>
        <v>78299.136000000028</v>
      </c>
      <c r="J12" s="2" t="s">
        <v>102</v>
      </c>
    </row>
    <row r="13" spans="1:10" ht="20" customHeight="1" x14ac:dyDescent="0.35">
      <c r="A13" s="6" t="s">
        <v>121</v>
      </c>
      <c r="B13" s="6">
        <v>2048</v>
      </c>
      <c r="C13" s="6" t="s">
        <v>100</v>
      </c>
      <c r="D13" s="6" t="s">
        <v>112</v>
      </c>
      <c r="E13" s="6">
        <v>2048</v>
      </c>
      <c r="F13" s="6">
        <v>1536</v>
      </c>
      <c r="G13" s="12">
        <f>B13*Inputs!$B$5</f>
        <v>368.64</v>
      </c>
      <c r="H13" s="12">
        <f>G13*Inputs!$B$7*Inputs!$B$8</f>
        <v>265420.80000000005</v>
      </c>
      <c r="I13" s="12">
        <f>H13*(1-Inputs!$B$6)</f>
        <v>156598.27200000006</v>
      </c>
      <c r="J13" s="2" t="s">
        <v>102</v>
      </c>
    </row>
  </sheetData>
  <mergeCells count="1">
    <mergeCell ref="A1:J1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showGridLines="0" workbookViewId="0">
      <selection activeCell="B3" sqref="B3"/>
    </sheetView>
  </sheetViews>
  <sheetFormatPr defaultRowHeight="14.5" x14ac:dyDescent="0.35"/>
  <cols>
    <col min="1" max="1" width="28" customWidth="1"/>
    <col min="2" max="3" width="16" customWidth="1"/>
    <col min="4" max="4" width="46" customWidth="1"/>
    <col min="5" max="5" width="21.1796875" customWidth="1"/>
    <col min="6" max="6" width="21.08984375" customWidth="1"/>
    <col min="7" max="7" width="24.6328125" customWidth="1"/>
    <col min="8" max="8" width="26.26953125" customWidth="1"/>
  </cols>
  <sheetData>
    <row r="1" spans="1:9" ht="20" customHeight="1" x14ac:dyDescent="0.35">
      <c r="A1" s="19" t="s">
        <v>122</v>
      </c>
      <c r="B1" s="20"/>
      <c r="C1" s="20"/>
      <c r="D1" s="20"/>
      <c r="E1" s="20"/>
      <c r="F1" s="20"/>
      <c r="G1" s="20"/>
      <c r="H1" s="20"/>
      <c r="I1" s="20"/>
    </row>
    <row r="2" spans="1:9" ht="20" customHeight="1" x14ac:dyDescent="0.35">
      <c r="A2" s="5" t="s">
        <v>123</v>
      </c>
      <c r="B2" s="5" t="s">
        <v>16</v>
      </c>
      <c r="C2" s="5" t="s">
        <v>17</v>
      </c>
      <c r="D2" s="5" t="s">
        <v>124</v>
      </c>
      <c r="E2" s="2"/>
      <c r="F2" s="2"/>
      <c r="G2" s="2"/>
      <c r="H2" s="2"/>
      <c r="I2" s="2"/>
    </row>
    <row r="3" spans="1:9" ht="20" customHeight="1" x14ac:dyDescent="0.35">
      <c r="A3" s="6" t="s">
        <v>125</v>
      </c>
      <c r="B3" s="13">
        <f>Inputs!B23</f>
        <v>800</v>
      </c>
      <c r="C3" s="6" t="s">
        <v>72</v>
      </c>
      <c r="D3" s="6" t="s">
        <v>71</v>
      </c>
      <c r="E3" s="2"/>
      <c r="F3" s="2"/>
      <c r="G3" s="2"/>
      <c r="H3" s="2"/>
      <c r="I3" s="2"/>
    </row>
    <row r="4" spans="1:9" ht="20" customHeight="1" x14ac:dyDescent="0.35">
      <c r="A4" s="6" t="s">
        <v>126</v>
      </c>
      <c r="B4" s="13">
        <f>Inputs!B24</f>
        <v>250</v>
      </c>
      <c r="C4" s="6" t="s">
        <v>72</v>
      </c>
      <c r="D4" s="6" t="s">
        <v>127</v>
      </c>
      <c r="E4" s="2"/>
      <c r="F4" s="2"/>
      <c r="G4" s="2"/>
      <c r="H4" s="2"/>
      <c r="I4" s="2"/>
    </row>
    <row r="5" spans="1:9" ht="20" customHeight="1" x14ac:dyDescent="0.35">
      <c r="A5" s="6" t="s">
        <v>128</v>
      </c>
      <c r="B5" s="13">
        <f>Inputs!B25</f>
        <v>400</v>
      </c>
      <c r="C5" s="6" t="s">
        <v>72</v>
      </c>
      <c r="D5" s="6" t="s">
        <v>129</v>
      </c>
      <c r="E5" s="2"/>
      <c r="F5" s="2"/>
      <c r="G5" s="2"/>
      <c r="H5" s="2"/>
      <c r="I5" s="2"/>
    </row>
    <row r="6" spans="1:9" ht="20" customHeight="1" x14ac:dyDescent="0.35">
      <c r="A6" s="6" t="s">
        <v>130</v>
      </c>
      <c r="B6" s="13">
        <f>Inputs!B26</f>
        <v>150</v>
      </c>
      <c r="C6" s="6" t="s">
        <v>72</v>
      </c>
      <c r="D6" s="6" t="s">
        <v>131</v>
      </c>
      <c r="E6" s="2"/>
      <c r="F6" s="2"/>
      <c r="G6" s="2"/>
      <c r="H6" s="2"/>
      <c r="I6" s="2"/>
    </row>
    <row r="7" spans="1:9" ht="20" customHeight="1" x14ac:dyDescent="0.35">
      <c r="A7" s="6" t="s">
        <v>132</v>
      </c>
      <c r="B7" s="13">
        <f>SUM(B3:B6)</f>
        <v>1600</v>
      </c>
      <c r="C7" s="6" t="s">
        <v>72</v>
      </c>
      <c r="D7" s="6" t="s">
        <v>133</v>
      </c>
      <c r="E7" s="2"/>
      <c r="F7" s="2"/>
      <c r="G7" s="2"/>
      <c r="H7" s="2"/>
      <c r="I7" s="2"/>
    </row>
    <row r="8" spans="1:9" ht="20" customHeight="1" x14ac:dyDescent="0.35">
      <c r="A8" s="6" t="s">
        <v>83</v>
      </c>
      <c r="B8" s="14">
        <f>Inputs!B27</f>
        <v>1.25</v>
      </c>
      <c r="C8" s="6" t="s">
        <v>84</v>
      </c>
      <c r="D8" s="6" t="s">
        <v>134</v>
      </c>
      <c r="E8" s="2"/>
      <c r="F8" s="2"/>
      <c r="G8" s="2"/>
      <c r="H8" s="2"/>
      <c r="I8" s="2"/>
    </row>
    <row r="9" spans="1:9" ht="20" customHeight="1" x14ac:dyDescent="0.35">
      <c r="A9" s="6" t="s">
        <v>135</v>
      </c>
      <c r="B9" s="15">
        <f>Inputs!B28</f>
        <v>0.1</v>
      </c>
      <c r="C9" s="6" t="s">
        <v>33</v>
      </c>
      <c r="D9" s="6" t="s">
        <v>136</v>
      </c>
      <c r="E9" s="2"/>
      <c r="F9" s="2"/>
      <c r="G9" s="2"/>
      <c r="H9" s="2"/>
      <c r="I9" s="2"/>
    </row>
    <row r="10" spans="1:9" ht="20" customHeight="1" x14ac:dyDescent="0.35">
      <c r="A10" s="6" t="s">
        <v>137</v>
      </c>
      <c r="B10" s="15">
        <f>Inputs!B18</f>
        <v>0.2</v>
      </c>
      <c r="C10" s="6" t="s">
        <v>33</v>
      </c>
      <c r="D10" s="6" t="s">
        <v>138</v>
      </c>
      <c r="E10" s="2"/>
      <c r="F10" s="2"/>
      <c r="G10" s="2"/>
      <c r="H10" s="2"/>
      <c r="I10" s="2"/>
    </row>
    <row r="11" spans="1:9" ht="20" customHeight="1" x14ac:dyDescent="0.35">
      <c r="A11" s="6" t="s">
        <v>139</v>
      </c>
      <c r="B11" s="13">
        <f>B7*B8*(1+B9)*(1+B10)</f>
        <v>2640</v>
      </c>
      <c r="C11" s="6" t="s">
        <v>72</v>
      </c>
      <c r="D11" s="6" t="s">
        <v>140</v>
      </c>
      <c r="E11" s="2"/>
      <c r="F11" s="2"/>
      <c r="G11" s="2"/>
      <c r="H11" s="2"/>
      <c r="I11" s="2"/>
    </row>
    <row r="12" spans="1:9" ht="20" customHeight="1" x14ac:dyDescent="0.35">
      <c r="A12" s="6" t="s">
        <v>35</v>
      </c>
      <c r="B12" s="13">
        <f>Inputs!B7</f>
        <v>24</v>
      </c>
      <c r="C12" s="6" t="s">
        <v>36</v>
      </c>
      <c r="D12" s="6" t="s">
        <v>141</v>
      </c>
      <c r="E12" s="2"/>
      <c r="F12" s="2"/>
      <c r="G12" s="2"/>
      <c r="H12" s="2"/>
      <c r="I12" s="2"/>
    </row>
    <row r="13" spans="1:9" ht="20" customHeight="1" x14ac:dyDescent="0.35">
      <c r="A13" s="6" t="s">
        <v>142</v>
      </c>
      <c r="B13" s="13">
        <f>B11/B12</f>
        <v>110</v>
      </c>
      <c r="C13" s="6" t="s">
        <v>90</v>
      </c>
      <c r="D13" s="6" t="s">
        <v>143</v>
      </c>
      <c r="E13" s="2"/>
      <c r="F13" s="2"/>
      <c r="G13" s="2"/>
      <c r="H13" s="2"/>
      <c r="I13" s="2"/>
    </row>
    <row r="14" spans="1:9" ht="20" customHeight="1" x14ac:dyDescent="0.35">
      <c r="A14" s="6" t="s">
        <v>144</v>
      </c>
      <c r="B14" s="13">
        <f>IF(B13&lt;=2,2,IF(B13&lt;=4,4,IF(B13&lt;=8,8,IF(B13&lt;=16,16,IF(B13&lt;=32,32,IF(B13&lt;=64,64,IF(B13&lt;=128,128,IF(B13&lt;=256,256,IF(B13&lt;=512,512,IF(B13&lt;=1024,1024,2048))))))))))</f>
        <v>128</v>
      </c>
      <c r="C14" s="6" t="s">
        <v>90</v>
      </c>
      <c r="D14" s="6" t="s">
        <v>145</v>
      </c>
      <c r="E14" s="2"/>
      <c r="F14" s="2"/>
      <c r="G14" s="2"/>
      <c r="H14" s="2"/>
      <c r="I14" s="2"/>
    </row>
    <row r="15" spans="1:9" ht="20" customHeight="1" x14ac:dyDescent="0.35">
      <c r="A15" s="6" t="s">
        <v>146</v>
      </c>
      <c r="B15" s="16" t="str">
        <f>IF(B14=2,"F2",IF(B14=4,"F4",IF(B14=8,"F8",IF(B14=16,"F16",IF(B14=32,"F32",IF(B14=64,"F64",IF(B14=128,"F128",IF(B14=256,"F256",IF(B14=512,"F512",IF(B14=1024,"F1024","F2048"))))))))))</f>
        <v>F128</v>
      </c>
      <c r="C15" s="6" t="s">
        <v>89</v>
      </c>
      <c r="D15" s="6" t="s">
        <v>147</v>
      </c>
      <c r="E15" s="2"/>
      <c r="F15" s="2"/>
      <c r="G15" s="2"/>
      <c r="H15" s="2"/>
      <c r="I15" s="2"/>
    </row>
    <row r="16" spans="1:9" ht="20" customHeight="1" x14ac:dyDescent="0.35">
      <c r="A16" s="2"/>
      <c r="B16" s="2"/>
      <c r="C16" s="2"/>
      <c r="D16" s="2"/>
      <c r="E16" s="2"/>
      <c r="F16" s="2"/>
      <c r="G16" s="2"/>
      <c r="H16" s="2"/>
      <c r="I16" s="2"/>
    </row>
    <row r="17" spans="1:9" ht="20" customHeight="1" x14ac:dyDescent="0.35">
      <c r="A17" s="2"/>
      <c r="B17" s="2"/>
      <c r="C17" s="2"/>
      <c r="D17" s="2"/>
      <c r="E17" s="2"/>
      <c r="F17" s="2"/>
      <c r="G17" s="2"/>
      <c r="H17" s="2"/>
      <c r="I17" s="2"/>
    </row>
    <row r="18" spans="1:9" ht="20" customHeight="1" x14ac:dyDescent="0.35">
      <c r="A18" s="19" t="s">
        <v>148</v>
      </c>
      <c r="B18" s="20"/>
      <c r="C18" s="20"/>
      <c r="D18" s="20"/>
      <c r="E18" s="20"/>
      <c r="F18" s="20"/>
      <c r="G18" s="20"/>
      <c r="H18" s="20"/>
      <c r="I18" s="20"/>
    </row>
    <row r="19" spans="1:9" ht="19" customHeight="1" x14ac:dyDescent="0.35">
      <c r="A19" s="17" t="s">
        <v>149</v>
      </c>
      <c r="B19" s="2"/>
      <c r="C19" s="2"/>
      <c r="D19" s="2"/>
      <c r="E19" s="2"/>
      <c r="F19" s="2"/>
      <c r="G19" s="2"/>
      <c r="H19" s="2"/>
      <c r="I19" s="2"/>
    </row>
    <row r="20" spans="1:9" ht="87" x14ac:dyDescent="0.35">
      <c r="A20" s="4" t="s">
        <v>150</v>
      </c>
      <c r="B20" s="2"/>
      <c r="C20" s="2"/>
      <c r="D20" s="2"/>
      <c r="E20" s="2"/>
      <c r="F20" s="2"/>
      <c r="G20" s="2"/>
      <c r="H20" s="2"/>
      <c r="I20" s="2"/>
    </row>
    <row r="21" spans="1:9" ht="87" x14ac:dyDescent="0.35">
      <c r="A21" s="4" t="s">
        <v>151</v>
      </c>
      <c r="B21" s="2"/>
      <c r="C21" s="2"/>
      <c r="D21" s="2"/>
      <c r="E21" s="2"/>
      <c r="F21" s="2"/>
      <c r="G21" s="2"/>
      <c r="H21" s="2"/>
      <c r="I21" s="2"/>
    </row>
    <row r="22" spans="1:9" ht="174" x14ac:dyDescent="0.35">
      <c r="A22" s="4" t="s">
        <v>152</v>
      </c>
      <c r="B22" s="4" t="s">
        <v>152</v>
      </c>
      <c r="C22" s="4" t="s">
        <v>152</v>
      </c>
      <c r="D22" s="4" t="s">
        <v>152</v>
      </c>
      <c r="E22" s="4" t="s">
        <v>152</v>
      </c>
      <c r="F22" s="4" t="s">
        <v>152</v>
      </c>
      <c r="G22" s="4" t="s">
        <v>152</v>
      </c>
      <c r="H22" s="4" t="s">
        <v>152</v>
      </c>
      <c r="I22" s="2"/>
    </row>
  </sheetData>
  <mergeCells count="2">
    <mergeCell ref="A1:I1"/>
    <mergeCell ref="A18:I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6"/>
  <sheetViews>
    <sheetView showGridLines="0" workbookViewId="0">
      <selection activeCell="D3" sqref="D3"/>
    </sheetView>
  </sheetViews>
  <sheetFormatPr defaultRowHeight="14.5" x14ac:dyDescent="0.35"/>
  <cols>
    <col min="1" max="1" width="32" customWidth="1"/>
    <col min="2" max="2" width="22.90625" bestFit="1" customWidth="1"/>
    <col min="3" max="4" width="32.36328125" bestFit="1" customWidth="1"/>
    <col min="5" max="5" width="8.1796875" bestFit="1" customWidth="1"/>
    <col min="6" max="6" width="40" customWidth="1"/>
  </cols>
  <sheetData>
    <row r="1" spans="1:15" ht="20" customHeight="1" x14ac:dyDescent="0.35">
      <c r="A1" s="19" t="s">
        <v>153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20" customHeight="1" x14ac:dyDescent="0.35">
      <c r="A2" s="5" t="s">
        <v>154</v>
      </c>
      <c r="B2" s="5" t="s">
        <v>155</v>
      </c>
      <c r="C2" s="5" t="s">
        <v>156</v>
      </c>
      <c r="D2" s="5" t="s">
        <v>157</v>
      </c>
      <c r="E2" s="5" t="s">
        <v>17</v>
      </c>
      <c r="F2" s="5" t="s">
        <v>98</v>
      </c>
      <c r="G2" s="2"/>
      <c r="H2" s="2"/>
      <c r="I2" s="2"/>
      <c r="J2" s="2"/>
      <c r="K2" s="2"/>
      <c r="L2" s="2"/>
      <c r="M2" s="2"/>
      <c r="N2" s="2"/>
      <c r="O2" s="2"/>
    </row>
    <row r="3" spans="1:15" ht="20" customHeight="1" x14ac:dyDescent="0.35">
      <c r="A3" s="2"/>
      <c r="B3" s="10" t="s">
        <v>158</v>
      </c>
      <c r="C3" s="10" t="s">
        <v>108</v>
      </c>
      <c r="D3" s="10" t="s">
        <v>110</v>
      </c>
      <c r="E3" s="6" t="s">
        <v>89</v>
      </c>
      <c r="F3" s="6" t="s">
        <v>159</v>
      </c>
      <c r="G3" s="2"/>
      <c r="H3" s="2"/>
      <c r="I3" s="2"/>
      <c r="J3" s="2"/>
      <c r="K3" s="2"/>
      <c r="L3" s="2"/>
      <c r="M3" s="2"/>
      <c r="N3" s="2"/>
      <c r="O3" s="2"/>
    </row>
    <row r="4" spans="1:15" ht="20" customHeight="1" x14ac:dyDescent="0.35">
      <c r="A4" s="6" t="s">
        <v>160</v>
      </c>
      <c r="B4" s="13">
        <f>0</f>
        <v>0</v>
      </c>
      <c r="C4" s="13">
        <f>VLOOKUP(C3,'SKU Catalog'!$A$3:$I$13,2,FALSE)</f>
        <v>32</v>
      </c>
      <c r="D4" s="13">
        <f>VLOOKUP(D3,'SKU Catalog'!$A$3:$I$13,2,FALSE)</f>
        <v>64</v>
      </c>
      <c r="E4" s="6" t="s">
        <v>90</v>
      </c>
      <c r="F4" s="6" t="s">
        <v>161</v>
      </c>
      <c r="G4" s="2"/>
      <c r="H4" s="2"/>
      <c r="I4" s="2"/>
      <c r="J4" s="2"/>
      <c r="K4" s="2"/>
      <c r="L4" s="2"/>
      <c r="M4" s="2"/>
      <c r="N4" s="2"/>
      <c r="O4" s="2"/>
    </row>
    <row r="5" spans="1:15" ht="20" customHeight="1" x14ac:dyDescent="0.35">
      <c r="A5" s="6" t="s">
        <v>162</v>
      </c>
      <c r="B5" s="12">
        <f>0</f>
        <v>0</v>
      </c>
      <c r="C5" s="12">
        <f>VLOOKUP(C3,'SKU Catalog'!$A$3:$I$13,8,FALSE)</f>
        <v>4147.2000000000007</v>
      </c>
      <c r="D5" s="12">
        <f>VLOOKUP(D3,'SKU Catalog'!$A$3:$I$13,8,FALSE)</f>
        <v>8294.4000000000015</v>
      </c>
      <c r="E5" s="6" t="s">
        <v>163</v>
      </c>
      <c r="F5" s="6" t="s">
        <v>164</v>
      </c>
      <c r="G5" s="2"/>
      <c r="H5" s="2"/>
      <c r="I5" s="2"/>
      <c r="J5" s="2"/>
      <c r="K5" s="2"/>
      <c r="L5" s="2"/>
      <c r="M5" s="2"/>
      <c r="N5" s="2"/>
      <c r="O5" s="2"/>
    </row>
    <row r="6" spans="1:15" ht="20" customHeight="1" x14ac:dyDescent="0.35">
      <c r="A6" s="6" t="s">
        <v>165</v>
      </c>
      <c r="B6" s="12">
        <f>0</f>
        <v>0</v>
      </c>
      <c r="C6" s="12">
        <f>VLOOKUP(C3,'SKU Catalog'!$A$3:$I$13,9,FALSE)</f>
        <v>2446.8480000000009</v>
      </c>
      <c r="D6" s="12">
        <f>VLOOKUP(D3,'SKU Catalog'!$A$3:$I$13,9,FALSE)</f>
        <v>4893.6960000000017</v>
      </c>
      <c r="E6" s="6" t="s">
        <v>163</v>
      </c>
      <c r="F6" s="6" t="s">
        <v>166</v>
      </c>
      <c r="G6" s="2"/>
      <c r="H6" s="2"/>
      <c r="I6" s="2"/>
      <c r="J6" s="2"/>
      <c r="K6" s="2"/>
      <c r="L6" s="2"/>
      <c r="M6" s="2"/>
      <c r="N6" s="2"/>
      <c r="O6" s="2"/>
    </row>
    <row r="7" spans="1:15" ht="20" customHeight="1" x14ac:dyDescent="0.35">
      <c r="A7" s="6" t="s">
        <v>52</v>
      </c>
      <c r="B7" s="13">
        <f>Inputs!$B$12</f>
        <v>40</v>
      </c>
      <c r="C7" s="13">
        <f>Inputs!$B$12</f>
        <v>40</v>
      </c>
      <c r="D7" s="13">
        <f>Inputs!$B$12</f>
        <v>40</v>
      </c>
      <c r="E7" s="6" t="s">
        <v>49</v>
      </c>
      <c r="F7" s="6" t="s">
        <v>167</v>
      </c>
      <c r="G7" s="2"/>
      <c r="H7" s="2"/>
      <c r="I7" s="2"/>
      <c r="J7" s="2"/>
      <c r="K7" s="2"/>
      <c r="L7" s="2"/>
      <c r="M7" s="2"/>
      <c r="N7" s="2"/>
      <c r="O7" s="2"/>
    </row>
    <row r="8" spans="1:15" ht="20" customHeight="1" x14ac:dyDescent="0.35">
      <c r="A8" s="6" t="s">
        <v>168</v>
      </c>
      <c r="B8" s="13">
        <f>Inputs!$B$13</f>
        <v>300</v>
      </c>
      <c r="C8" s="13">
        <f>Inputs!$B$13</f>
        <v>300</v>
      </c>
      <c r="D8" s="13">
        <f>0</f>
        <v>0</v>
      </c>
      <c r="E8" s="6" t="s">
        <v>49</v>
      </c>
      <c r="F8" s="6" t="s">
        <v>169</v>
      </c>
      <c r="G8" s="2"/>
      <c r="H8" s="2"/>
      <c r="I8" s="2"/>
      <c r="J8" s="2"/>
      <c r="K8" s="2"/>
      <c r="L8" s="2"/>
      <c r="M8" s="2"/>
      <c r="N8" s="2"/>
      <c r="O8" s="2"/>
    </row>
    <row r="9" spans="1:15" ht="20" customHeight="1" x14ac:dyDescent="0.35">
      <c r="A9" s="6" t="s">
        <v>170</v>
      </c>
      <c r="B9" s="13">
        <f>0</f>
        <v>0</v>
      </c>
      <c r="C9" s="13">
        <f>0</f>
        <v>0</v>
      </c>
      <c r="D9" s="13">
        <f>Inputs!$B$14</f>
        <v>1500</v>
      </c>
      <c r="E9" s="6" t="s">
        <v>49</v>
      </c>
      <c r="F9" s="6" t="s">
        <v>171</v>
      </c>
      <c r="G9" s="2"/>
      <c r="H9" s="2"/>
      <c r="I9" s="2"/>
      <c r="J9" s="2"/>
      <c r="K9" s="2"/>
      <c r="L9" s="2"/>
      <c r="M9" s="2"/>
      <c r="N9" s="2"/>
      <c r="O9" s="2"/>
    </row>
    <row r="10" spans="1:15" ht="20" customHeight="1" x14ac:dyDescent="0.35">
      <c r="A10" s="6" t="s">
        <v>172</v>
      </c>
      <c r="B10" s="12">
        <f>0</f>
        <v>0</v>
      </c>
      <c r="C10" s="12">
        <f>SUM(C7:C8)*Inputs!$B$3</f>
        <v>4760</v>
      </c>
      <c r="D10" s="12">
        <f>D7*Inputs!$B$3</f>
        <v>560</v>
      </c>
      <c r="E10" s="6" t="s">
        <v>163</v>
      </c>
      <c r="F10" s="6" t="s">
        <v>173</v>
      </c>
      <c r="G10" s="2"/>
      <c r="H10" s="2"/>
      <c r="I10" s="2"/>
      <c r="J10" s="2"/>
      <c r="K10" s="2"/>
      <c r="L10" s="2"/>
      <c r="M10" s="2"/>
      <c r="N10" s="2"/>
      <c r="O10" s="2"/>
    </row>
    <row r="11" spans="1:15" ht="20" customHeight="1" x14ac:dyDescent="0.35">
      <c r="A11" s="6" t="s">
        <v>174</v>
      </c>
      <c r="B11" s="12">
        <f>B7*Inputs!$B$4</f>
        <v>960</v>
      </c>
      <c r="C11" s="12">
        <f>0</f>
        <v>0</v>
      </c>
      <c r="D11" s="12">
        <f>0</f>
        <v>0</v>
      </c>
      <c r="E11" s="6" t="s">
        <v>163</v>
      </c>
      <c r="F11" s="6" t="s">
        <v>175</v>
      </c>
      <c r="G11" s="2"/>
      <c r="H11" s="2"/>
      <c r="I11" s="2"/>
      <c r="J11" s="2"/>
      <c r="K11" s="2"/>
      <c r="L11" s="2"/>
      <c r="M11" s="2"/>
      <c r="N11" s="2"/>
      <c r="O11" s="2"/>
    </row>
    <row r="12" spans="1:15" ht="20" customHeight="1" x14ac:dyDescent="0.35">
      <c r="A12" s="6" t="s">
        <v>176</v>
      </c>
      <c r="B12" s="12">
        <f>0</f>
        <v>0</v>
      </c>
      <c r="C12" s="12">
        <f>Inputs!$B$15*Inputs!$B$9</f>
        <v>345</v>
      </c>
      <c r="D12" s="12">
        <f>Inputs!$B$15*Inputs!$B$9</f>
        <v>345</v>
      </c>
      <c r="E12" s="6" t="s">
        <v>163</v>
      </c>
      <c r="F12" s="6" t="s">
        <v>177</v>
      </c>
      <c r="G12" s="2"/>
      <c r="H12" s="2"/>
      <c r="I12" s="2"/>
      <c r="J12" s="2"/>
      <c r="K12" s="2"/>
      <c r="L12" s="2"/>
      <c r="M12" s="2"/>
      <c r="N12" s="2"/>
      <c r="O12" s="2"/>
    </row>
    <row r="13" spans="1:15" ht="20" customHeight="1" x14ac:dyDescent="0.35">
      <c r="A13" s="6" t="s">
        <v>178</v>
      </c>
      <c r="B13" s="12">
        <f>0</f>
        <v>0</v>
      </c>
      <c r="C13" s="12">
        <f>Inputs!$B$16*Inputs!$B$10</f>
        <v>500</v>
      </c>
      <c r="D13" s="12">
        <f>Inputs!$B$16*Inputs!$B$10</f>
        <v>500</v>
      </c>
      <c r="E13" s="6" t="s">
        <v>163</v>
      </c>
      <c r="F13" s="6" t="s">
        <v>179</v>
      </c>
      <c r="G13" s="2"/>
      <c r="H13" s="2"/>
      <c r="I13" s="2"/>
      <c r="J13" s="2"/>
      <c r="K13" s="2"/>
      <c r="L13" s="2"/>
      <c r="M13" s="2"/>
      <c r="N13" s="2"/>
      <c r="O13" s="2"/>
    </row>
    <row r="14" spans="1:15" ht="20" customHeight="1" x14ac:dyDescent="0.35">
      <c r="A14" s="6" t="s">
        <v>180</v>
      </c>
      <c r="B14" s="12">
        <f>0</f>
        <v>0</v>
      </c>
      <c r="C14" s="12">
        <f>Inputs!$B$17*Inputs!$B$5</f>
        <v>0</v>
      </c>
      <c r="D14" s="12">
        <f>Inputs!$B$17*Inputs!$B$5</f>
        <v>0</v>
      </c>
      <c r="E14" s="6" t="s">
        <v>163</v>
      </c>
      <c r="F14" s="6" t="s">
        <v>181</v>
      </c>
      <c r="G14" s="2"/>
      <c r="H14" s="2"/>
      <c r="I14" s="2"/>
      <c r="J14" s="2"/>
      <c r="K14" s="2"/>
      <c r="L14" s="2"/>
      <c r="M14" s="2"/>
      <c r="N14" s="2"/>
      <c r="O14" s="2"/>
    </row>
    <row r="15" spans="1:15" ht="20" customHeight="1" x14ac:dyDescent="0.35">
      <c r="A15" s="6" t="s">
        <v>182</v>
      </c>
      <c r="B15" s="12">
        <f>SUM(B10:B14)</f>
        <v>960</v>
      </c>
      <c r="C15" s="12">
        <f>SUM(C5,C10:C14)</f>
        <v>9752.2000000000007</v>
      </c>
      <c r="D15" s="12">
        <f>SUM(D5,D10:D14)</f>
        <v>9699.4000000000015</v>
      </c>
      <c r="E15" s="6" t="s">
        <v>163</v>
      </c>
      <c r="F15" s="6" t="s">
        <v>183</v>
      </c>
      <c r="G15" s="2"/>
      <c r="H15" s="2"/>
      <c r="I15" s="2"/>
      <c r="J15" s="2"/>
      <c r="K15" s="2"/>
      <c r="L15" s="2"/>
      <c r="M15" s="2"/>
      <c r="N15" s="2"/>
      <c r="O15" s="2"/>
    </row>
    <row r="16" spans="1:15" ht="20" customHeight="1" x14ac:dyDescent="0.35">
      <c r="A16" s="6" t="s">
        <v>184</v>
      </c>
      <c r="B16" s="12">
        <f>SUM(B10:B14)</f>
        <v>960</v>
      </c>
      <c r="C16" s="12">
        <f>SUM(C6,C10:C14)</f>
        <v>8051.8480000000009</v>
      </c>
      <c r="D16" s="12">
        <f>SUM(D6,D10:D14)</f>
        <v>6298.6960000000017</v>
      </c>
      <c r="E16" s="6" t="s">
        <v>163</v>
      </c>
      <c r="F16" s="6" t="s">
        <v>185</v>
      </c>
      <c r="G16" s="2"/>
      <c r="H16" s="2"/>
      <c r="I16" s="2"/>
      <c r="J16" s="2"/>
      <c r="K16" s="2"/>
      <c r="L16" s="2"/>
      <c r="M16" s="2"/>
      <c r="N16" s="2"/>
      <c r="O16" s="2"/>
    </row>
  </sheetData>
  <mergeCells count="1">
    <mergeCell ref="A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"/>
  <sheetViews>
    <sheetView showGridLines="0" tabSelected="1" workbookViewId="0">
      <selection activeCell="B5" sqref="B5"/>
    </sheetView>
  </sheetViews>
  <sheetFormatPr defaultRowHeight="14.5" x14ac:dyDescent="0.35"/>
  <cols>
    <col min="1" max="1" width="36" customWidth="1"/>
    <col min="2" max="2" width="28" customWidth="1"/>
    <col min="3" max="3" width="12" customWidth="1"/>
    <col min="4" max="4" width="18" customWidth="1"/>
  </cols>
  <sheetData>
    <row r="1" spans="1:10" ht="20" customHeight="1" x14ac:dyDescent="0.55000000000000004">
      <c r="A1" s="1" t="s">
        <v>186</v>
      </c>
    </row>
    <row r="2" spans="1:10" ht="20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20" customHeight="1" x14ac:dyDescent="0.35">
      <c r="A3" s="19" t="s">
        <v>187</v>
      </c>
      <c r="B3" s="20"/>
      <c r="C3" s="20"/>
      <c r="D3" s="20"/>
      <c r="E3" s="20"/>
      <c r="F3" s="20"/>
      <c r="G3" s="20"/>
      <c r="H3" s="20"/>
      <c r="I3" s="20"/>
      <c r="J3" s="20"/>
    </row>
    <row r="4" spans="1:10" ht="20" customHeight="1" x14ac:dyDescent="0.35">
      <c r="A4" s="5" t="s">
        <v>123</v>
      </c>
      <c r="B4" s="5" t="s">
        <v>16</v>
      </c>
      <c r="C4" s="5" t="s">
        <v>17</v>
      </c>
      <c r="D4" s="5" t="s">
        <v>188</v>
      </c>
      <c r="E4" s="2"/>
      <c r="F4" s="2"/>
      <c r="G4" s="2"/>
      <c r="H4" s="2"/>
      <c r="I4" s="2"/>
      <c r="J4" s="2"/>
    </row>
    <row r="5" spans="1:10" ht="20" customHeight="1" x14ac:dyDescent="0.35">
      <c r="A5" s="6" t="s">
        <v>189</v>
      </c>
      <c r="B5" s="13">
        <f>Sizing!B13</f>
        <v>110</v>
      </c>
      <c r="C5" s="6" t="s">
        <v>90</v>
      </c>
      <c r="D5" s="6" t="s">
        <v>190</v>
      </c>
      <c r="E5" s="2"/>
      <c r="F5" s="2"/>
      <c r="G5" s="2"/>
      <c r="H5" s="2"/>
      <c r="I5" s="2"/>
      <c r="J5" s="2"/>
    </row>
    <row r="6" spans="1:10" ht="20" customHeight="1" x14ac:dyDescent="0.35">
      <c r="A6" s="6" t="s">
        <v>146</v>
      </c>
      <c r="B6" s="16" t="str">
        <f>Sizing!B15</f>
        <v>F128</v>
      </c>
      <c r="C6" s="6" t="s">
        <v>89</v>
      </c>
      <c r="D6" s="6" t="s">
        <v>190</v>
      </c>
      <c r="E6" s="2"/>
      <c r="F6" s="2"/>
      <c r="G6" s="2"/>
      <c r="H6" s="2"/>
      <c r="I6" s="2"/>
      <c r="J6" s="2"/>
    </row>
    <row r="7" spans="1:10" ht="20" customHeight="1" x14ac:dyDescent="0.35">
      <c r="A7" s="6" t="s">
        <v>191</v>
      </c>
      <c r="B7" s="12">
        <f>VLOOKUP(B6,'SKU Catalog'!$A$3:$I$13,8,FALSE)</f>
        <v>16588.800000000003</v>
      </c>
      <c r="C7" s="6" t="s">
        <v>163</v>
      </c>
      <c r="D7" s="6" t="s">
        <v>192</v>
      </c>
      <c r="E7" s="2"/>
      <c r="F7" s="2"/>
      <c r="G7" s="2"/>
      <c r="H7" s="2"/>
      <c r="I7" s="2"/>
      <c r="J7" s="2"/>
    </row>
    <row r="8" spans="1:10" ht="20" customHeight="1" x14ac:dyDescent="0.35">
      <c r="A8" s="6" t="s">
        <v>193</v>
      </c>
      <c r="B8" s="12">
        <f>VLOOKUP(B6,'SKU Catalog'!$A$3:$I$13,9,FALSE)</f>
        <v>9787.3920000000035</v>
      </c>
      <c r="C8" s="6" t="s">
        <v>163</v>
      </c>
      <c r="D8" s="6" t="s">
        <v>192</v>
      </c>
      <c r="E8" s="2"/>
      <c r="F8" s="2"/>
      <c r="G8" s="2"/>
      <c r="H8" s="2"/>
      <c r="I8" s="2"/>
      <c r="J8" s="2"/>
    </row>
    <row r="9" spans="1:10" ht="20" customHeight="1" x14ac:dyDescent="0.35">
      <c r="A9" s="6" t="s">
        <v>194</v>
      </c>
      <c r="B9" s="12">
        <f>Scenarios!C15</f>
        <v>9752.2000000000007</v>
      </c>
      <c r="C9" s="6" t="s">
        <v>163</v>
      </c>
      <c r="D9" s="6" t="s">
        <v>195</v>
      </c>
      <c r="E9" s="2"/>
      <c r="F9" s="2"/>
      <c r="G9" s="2"/>
      <c r="H9" s="2"/>
      <c r="I9" s="2"/>
      <c r="J9" s="2"/>
    </row>
    <row r="10" spans="1:10" ht="20" customHeight="1" x14ac:dyDescent="0.35">
      <c r="A10" s="6" t="s">
        <v>196</v>
      </c>
      <c r="B10" s="12">
        <f>Scenarios!D15</f>
        <v>9699.4000000000015</v>
      </c>
      <c r="C10" s="6" t="s">
        <v>163</v>
      </c>
      <c r="D10" s="6" t="s">
        <v>195</v>
      </c>
      <c r="E10" s="2"/>
      <c r="F10" s="2"/>
      <c r="G10" s="2"/>
      <c r="H10" s="2"/>
      <c r="I10" s="2"/>
      <c r="J10" s="2"/>
    </row>
    <row r="11" spans="1:10" ht="20" customHeight="1" x14ac:dyDescent="0.35">
      <c r="A11" s="6" t="s">
        <v>197</v>
      </c>
      <c r="B11" s="12">
        <f>Scenarios!C16</f>
        <v>8051.8480000000009</v>
      </c>
      <c r="C11" s="6" t="s">
        <v>163</v>
      </c>
      <c r="D11" s="6" t="s">
        <v>195</v>
      </c>
      <c r="E11" s="2"/>
      <c r="F11" s="2"/>
      <c r="G11" s="2"/>
      <c r="H11" s="2"/>
      <c r="I11" s="2"/>
      <c r="J11" s="2"/>
    </row>
    <row r="12" spans="1:10" ht="20" customHeight="1" x14ac:dyDescent="0.35">
      <c r="A12" s="6" t="s">
        <v>198</v>
      </c>
      <c r="B12" s="12">
        <f>Scenarios!D16</f>
        <v>6298.6960000000017</v>
      </c>
      <c r="C12" s="6" t="s">
        <v>163</v>
      </c>
      <c r="D12" s="6" t="s">
        <v>195</v>
      </c>
      <c r="E12" s="2"/>
      <c r="F12" s="2"/>
      <c r="G12" s="2"/>
      <c r="H12" s="2"/>
      <c r="I12" s="2"/>
      <c r="J12" s="2"/>
    </row>
    <row r="13" spans="1:10" ht="42" customHeight="1" x14ac:dyDescent="0.35">
      <c r="A13" s="6" t="s">
        <v>199</v>
      </c>
      <c r="B13" s="6" t="s">
        <v>200</v>
      </c>
      <c r="C13" s="6" t="s">
        <v>201</v>
      </c>
      <c r="D13" s="6" t="s">
        <v>202</v>
      </c>
      <c r="E13" s="2"/>
      <c r="F13" s="2"/>
      <c r="G13" s="2"/>
      <c r="H13" s="2"/>
      <c r="I13" s="2"/>
      <c r="J13" s="2"/>
    </row>
    <row r="14" spans="1:10" ht="20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20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20" customHeight="1" x14ac:dyDescent="0.35">
      <c r="A16" s="19" t="s">
        <v>203</v>
      </c>
      <c r="B16" s="20"/>
      <c r="C16" s="20"/>
      <c r="D16" s="20"/>
      <c r="E16" s="20"/>
      <c r="F16" s="20"/>
      <c r="G16" s="20"/>
      <c r="H16" s="20"/>
      <c r="I16" s="20"/>
      <c r="J16" s="20"/>
    </row>
    <row r="17" spans="1:10" ht="20" customHeight="1" x14ac:dyDescent="0.35">
      <c r="A17" s="5" t="s">
        <v>204</v>
      </c>
      <c r="B17" s="5" t="s">
        <v>205</v>
      </c>
      <c r="C17" s="5" t="s">
        <v>206</v>
      </c>
      <c r="D17" s="2"/>
      <c r="E17" s="2"/>
      <c r="F17" s="2"/>
      <c r="G17" s="2"/>
      <c r="H17" s="2"/>
      <c r="I17" s="2"/>
      <c r="J17" s="2"/>
    </row>
    <row r="18" spans="1:10" ht="20" customHeight="1" x14ac:dyDescent="0.35">
      <c r="A18" s="2" t="s">
        <v>207</v>
      </c>
      <c r="B18" s="18">
        <f>Scenarios!C15</f>
        <v>9752.2000000000007</v>
      </c>
      <c r="C18" s="18">
        <f>Scenarios!C16</f>
        <v>8051.8480000000009</v>
      </c>
      <c r="D18" s="2"/>
      <c r="E18" s="2"/>
      <c r="F18" s="2"/>
      <c r="G18" s="2"/>
      <c r="H18" s="2"/>
      <c r="I18" s="2"/>
      <c r="J18" s="2"/>
    </row>
    <row r="19" spans="1:10" ht="20" customHeight="1" x14ac:dyDescent="0.35">
      <c r="A19" s="2" t="s">
        <v>208</v>
      </c>
      <c r="B19" s="18">
        <f>Scenarios!D15</f>
        <v>9699.4000000000015</v>
      </c>
      <c r="C19" s="18">
        <f>Scenarios!D16</f>
        <v>6298.6960000000017</v>
      </c>
      <c r="D19" s="2"/>
      <c r="E19" s="2"/>
      <c r="F19" s="2"/>
      <c r="G19" s="2"/>
      <c r="H19" s="2"/>
      <c r="I19" s="2"/>
      <c r="J19" s="2"/>
    </row>
  </sheetData>
  <mergeCells count="2">
    <mergeCell ref="A3:J3"/>
    <mergeCell ref="A16:J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Inputs</vt:lpstr>
      <vt:lpstr>SKU Catalog</vt:lpstr>
      <vt:lpstr>Sizing</vt:lpstr>
      <vt:lpstr>Scenarios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Deckler</dc:creator>
  <cp:lastModifiedBy>Greg Deckler</cp:lastModifiedBy>
  <dcterms:created xsi:type="dcterms:W3CDTF">2026-04-14T23:51:47Z</dcterms:created>
  <dcterms:modified xsi:type="dcterms:W3CDTF">2026-04-18T14:49:34Z</dcterms:modified>
</cp:coreProperties>
</file>