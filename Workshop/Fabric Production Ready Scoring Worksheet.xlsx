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fedbb726841d9a/Packt/Workshop/"/>
    </mc:Choice>
  </mc:AlternateContent>
  <xr:revisionPtr revIDLastSave="39" documentId="8_{47C36EA5-D4D0-4831-92D8-73B2B6FF3B35}" xr6:coauthVersionLast="47" xr6:coauthVersionMax="47" xr10:uidLastSave="{E90B4859-AF5A-4B0F-A72B-A59C24F4B48C}"/>
  <bookViews>
    <workbookView xWindow="16160" yWindow="4230" windowWidth="18080" windowHeight="12710" xr2:uid="{61EDEA61-DDFA-4572-9E7E-D06AAB53FA8F}"/>
  </bookViews>
  <sheets>
    <sheet name="Scoring Work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F10" i="1"/>
  <c r="F9" i="1"/>
  <c r="F8" i="1"/>
  <c r="F7" i="1"/>
  <c r="F6" i="1"/>
  <c r="F5" i="1"/>
  <c r="F4" i="1"/>
  <c r="F3" i="1"/>
  <c r="F2" i="1"/>
  <c r="B14" i="1" s="1"/>
  <c r="D2" i="1"/>
  <c r="B13" i="1" l="1"/>
  <c r="B15" i="1" s="1"/>
</calcChain>
</file>

<file path=xl/sharedStrings.xml><?xml version="1.0" encoding="utf-8"?>
<sst xmlns="http://schemas.openxmlformats.org/spreadsheetml/2006/main" count="21" uniqueCount="21">
  <si>
    <t>Domain</t>
  </si>
  <si>
    <t>Weight</t>
  </si>
  <si>
    <t>Weighted Score</t>
  </si>
  <si>
    <t>Score (0-4)</t>
  </si>
  <si>
    <t>Min Threshold</t>
  </si>
  <si>
    <t>Status</t>
  </si>
  <si>
    <t>Key Risks / Comments</t>
  </si>
  <si>
    <t>Security and Governance</t>
  </si>
  <si>
    <t>Reliability and Recoverability</t>
  </si>
  <si>
    <t>Performance and Scale</t>
  </si>
  <si>
    <t>DevOps and Change Safety</t>
  </si>
  <si>
    <t>Architecture Clarity</t>
  </si>
  <si>
    <t>Operations and Observability</t>
  </si>
  <si>
    <t>Cost and Sustainability</t>
  </si>
  <si>
    <t>Overall Weighted Score</t>
  </si>
  <si>
    <t>Threshold Fail Count</t>
  </si>
  <si>
    <t>Recommendation</t>
  </si>
  <si>
    <t>Decision Notes</t>
  </si>
  <si>
    <t>Use the comments column plus the separate defense template to explain the decision.</t>
  </si>
  <si>
    <t>Business Fit and Criticality</t>
  </si>
  <si>
    <t>Decision Governance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</si>
</sst>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9" fontId="0" fillId="3" borderId="1" xfId="0" applyNumberForma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2" fontId="0" fillId="3" borderId="1" xfId="0" applyNumberFormat="1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E2206-13E4-49E2-87F9-38978C546D6C}">
  <dimension ref="A1:G16"/>
  <sheetViews>
    <sheetView tabSelected="1" workbookViewId="0">
      <selection activeCell="C10" sqref="C10"/>
    </sheetView>
  </sheetViews>
  <sheetFormatPr defaultRowHeight="14.5" x14ac:dyDescent="0.35"/>
  <cols>
    <col min="1" max="1" width="35.1796875" customWidth="1"/>
    <col min="2" max="2" width="20.1796875" customWidth="1"/>
    <col min="3" max="3" width="10.6328125" customWidth="1"/>
    <col min="4" max="4" width="16.90625" customWidth="1"/>
    <col min="5" max="5" width="13.90625" customWidth="1"/>
    <col min="6" max="6" width="6.36328125" customWidth="1"/>
    <col min="7" max="7" width="16.54296875" customWidth="1"/>
  </cols>
  <sheetData>
    <row r="1" spans="1:7" ht="29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19</v>
      </c>
      <c r="B2" s="3">
        <v>0.1</v>
      </c>
      <c r="C2" s="8"/>
      <c r="D2" s="5">
        <f t="shared" ref="D2:D10" si="0">B2*C2</f>
        <v>0</v>
      </c>
      <c r="E2" s="6">
        <v>3</v>
      </c>
      <c r="F2" s="4" t="str">
        <f t="shared" ref="F2:F10" si="1">IF(C2="","",IF(C2&gt;=E2,"Pass","Below threshold"))</f>
        <v/>
      </c>
      <c r="G2" s="8"/>
    </row>
    <row r="3" spans="1:7" x14ac:dyDescent="0.35">
      <c r="A3" s="4" t="s">
        <v>7</v>
      </c>
      <c r="B3" s="3">
        <v>0.2</v>
      </c>
      <c r="C3" s="8"/>
      <c r="D3" s="5">
        <f t="shared" ref="D3:D9" si="2">B3*C3</f>
        <v>0</v>
      </c>
      <c r="E3" s="6">
        <v>3</v>
      </c>
      <c r="F3" s="4" t="str">
        <f t="shared" si="1"/>
        <v/>
      </c>
      <c r="G3" s="8"/>
    </row>
    <row r="4" spans="1:7" x14ac:dyDescent="0.35">
      <c r="A4" s="4" t="s">
        <v>8</v>
      </c>
      <c r="B4" s="3">
        <v>0.2</v>
      </c>
      <c r="C4" s="8"/>
      <c r="D4" s="5">
        <f t="shared" si="2"/>
        <v>0</v>
      </c>
      <c r="E4" s="6">
        <v>3</v>
      </c>
      <c r="F4" s="4" t="str">
        <f t="shared" si="1"/>
        <v/>
      </c>
      <c r="G4" s="8"/>
    </row>
    <row r="5" spans="1:7" x14ac:dyDescent="0.35">
      <c r="A5" s="4" t="s">
        <v>9</v>
      </c>
      <c r="B5" s="3">
        <v>0.15</v>
      </c>
      <c r="C5" s="8"/>
      <c r="D5" s="5">
        <f t="shared" si="2"/>
        <v>0</v>
      </c>
      <c r="E5" s="6">
        <v>2.5</v>
      </c>
      <c r="F5" s="4" t="str">
        <f t="shared" si="1"/>
        <v/>
      </c>
      <c r="G5" s="8"/>
    </row>
    <row r="6" spans="1:7" x14ac:dyDescent="0.35">
      <c r="A6" s="4" t="s">
        <v>10</v>
      </c>
      <c r="B6" s="3">
        <v>0.1</v>
      </c>
      <c r="C6" s="8"/>
      <c r="D6" s="5">
        <f t="shared" si="2"/>
        <v>0</v>
      </c>
      <c r="E6" s="6">
        <v>2.5</v>
      </c>
      <c r="F6" s="4" t="str">
        <f t="shared" si="1"/>
        <v/>
      </c>
      <c r="G6" s="8"/>
    </row>
    <row r="7" spans="1:7" x14ac:dyDescent="0.35">
      <c r="A7" s="4" t="s">
        <v>11</v>
      </c>
      <c r="B7" s="3">
        <v>0.1</v>
      </c>
      <c r="C7" s="8"/>
      <c r="D7" s="5">
        <f t="shared" si="2"/>
        <v>0</v>
      </c>
      <c r="E7" s="6">
        <v>2.5</v>
      </c>
      <c r="F7" s="4" t="str">
        <f t="shared" si="1"/>
        <v/>
      </c>
      <c r="G7" s="8"/>
    </row>
    <row r="8" spans="1:7" x14ac:dyDescent="0.35">
      <c r="A8" s="4" t="s">
        <v>12</v>
      </c>
      <c r="B8" s="3">
        <v>0.05</v>
      </c>
      <c r="C8" s="8"/>
      <c r="D8" s="5">
        <f t="shared" si="2"/>
        <v>0</v>
      </c>
      <c r="E8" s="6">
        <v>2</v>
      </c>
      <c r="F8" s="4" t="str">
        <f t="shared" si="1"/>
        <v/>
      </c>
      <c r="G8" s="8"/>
    </row>
    <row r="9" spans="1:7" x14ac:dyDescent="0.35">
      <c r="A9" s="4" t="s">
        <v>13</v>
      </c>
      <c r="B9" s="3">
        <v>0.05</v>
      </c>
      <c r="C9" s="8"/>
      <c r="D9" s="5">
        <f t="shared" si="2"/>
        <v>0</v>
      </c>
      <c r="E9" s="6">
        <v>2</v>
      </c>
      <c r="F9" s="4" t="str">
        <f t="shared" si="1"/>
        <v/>
      </c>
      <c r="G9" s="8"/>
    </row>
    <row r="10" spans="1:7" x14ac:dyDescent="0.35">
      <c r="A10" s="4" t="s">
        <v>20</v>
      </c>
      <c r="B10" s="3">
        <v>0.05</v>
      </c>
      <c r="C10" s="8"/>
      <c r="D10" s="5">
        <f t="shared" si="0"/>
        <v>0</v>
      </c>
      <c r="E10" s="6">
        <v>2</v>
      </c>
      <c r="F10" s="4" t="str">
        <f t="shared" si="1"/>
        <v/>
      </c>
      <c r="G10" s="8"/>
    </row>
    <row r="11" spans="1:7" x14ac:dyDescent="0.35">
      <c r="A11" s="2"/>
      <c r="B11" s="2"/>
      <c r="C11" s="2"/>
      <c r="D11" s="2"/>
      <c r="E11" s="2"/>
      <c r="F11" s="2"/>
      <c r="G11" s="2"/>
    </row>
    <row r="12" spans="1:7" x14ac:dyDescent="0.35">
      <c r="A12" s="2"/>
      <c r="B12" s="2"/>
      <c r="C12" s="2"/>
      <c r="D12" s="2"/>
      <c r="E12" s="2"/>
      <c r="F12" s="2"/>
      <c r="G12" s="2"/>
    </row>
    <row r="13" spans="1:7" ht="29" x14ac:dyDescent="0.35">
      <c r="A13" s="7" t="s">
        <v>14</v>
      </c>
      <c r="B13" s="5">
        <f>SUM(D2:D10)</f>
        <v>0</v>
      </c>
      <c r="C13" s="2"/>
      <c r="D13" s="2"/>
      <c r="E13" s="2"/>
      <c r="F13" s="2"/>
      <c r="G13" s="2"/>
    </row>
    <row r="14" spans="1:7" x14ac:dyDescent="0.35">
      <c r="A14" s="7" t="s">
        <v>15</v>
      </c>
      <c r="B14" s="4">
        <f>COUNTIF(F2:F10,"Below threshold")</f>
        <v>0</v>
      </c>
      <c r="C14" s="2"/>
      <c r="D14" s="2"/>
      <c r="E14" s="2"/>
      <c r="F14" s="2"/>
      <c r="G14" s="2"/>
    </row>
    <row r="15" spans="1:7" x14ac:dyDescent="0.35">
      <c r="A15" s="7" t="s">
        <v>16</v>
      </c>
      <c r="B15" s="4" t="str">
        <f>IF(B14&gt;0,"Not Approved",IF(B13&gt;=3.5,"Approved",IF(B13&gt;=2.8,"Conditionally Approved",IF(B13&gt;=2,"Pilot Only / Not Yet Production Ready","Redesign Required"))))</f>
        <v>Redesign Required</v>
      </c>
      <c r="C15" s="2"/>
      <c r="D15" s="2"/>
      <c r="E15" s="2"/>
      <c r="F15" s="2"/>
      <c r="G15" s="2"/>
    </row>
    <row r="16" spans="1:7" ht="72.5" x14ac:dyDescent="0.35">
      <c r="A16" s="7" t="s">
        <v>17</v>
      </c>
      <c r="B16" s="4" t="s">
        <v>18</v>
      </c>
      <c r="C16" s="2"/>
      <c r="D16" s="2"/>
      <c r="E16" s="2"/>
      <c r="F16" s="2"/>
      <c r="G16" s="2"/>
    </row>
  </sheetData>
  <dataValidations count="1">
    <dataValidation type="whole" allowBlank="1" error="Score must be a whole number from 0 to 4." prompt="Enter 0, 1, 2, 3, or 4" sqref="C2:C10" xr:uid="{7604F580-43DB-4B86-9293-22B28154A2ED}">
      <formula1>0</formula1>
      <formula2>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 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Deckler</dc:creator>
  <cp:lastModifiedBy>Greg Deckler</cp:lastModifiedBy>
  <dcterms:created xsi:type="dcterms:W3CDTF">2026-04-14T21:33:51Z</dcterms:created>
  <dcterms:modified xsi:type="dcterms:W3CDTF">2026-04-14T22:27:20Z</dcterms:modified>
</cp:coreProperties>
</file>